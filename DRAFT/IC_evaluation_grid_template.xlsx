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weights_editor" sheetId="2" r:id="rId5"/>
    <sheet state="visible" name="raw_weights" sheetId="3" r:id="rId6"/>
    <sheet state="visible" name="Base career path evaluation gri"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7">
      <text>
        <t xml:space="preserve">This formula compares IC performance ratings against role model ratings to assign performance labels.
CALCULATION:
- Performance Ratio = (IC Rating ÷ Role Model Rating) × 100%
LABELS ASSIGNED:
• Below 70% = "Improvements Needed" (Below expectations)
• 70% to 89% = "Developing Towards Great" (Met most expectations)  
• 90% to 110% = "Great Contribution" (Fully met expectations)
• Above 110% = "Outstanding Contribution" (Exceeded expectations)
NOTES:
- Handles cases where Role Model Rating = 0
- Higher percentages indicate better performance vs expectations</t>
      </text>
    </comment>
    <comment authorId="0" ref="C102">
      <text>
        <t xml:space="preserve">Makes decisions with urgency when path isn't clear</t>
      </text>
    </comment>
    <comment authorId="0" ref="C103">
      <text>
        <t xml:space="preserve">Challenges status quo and takes initiative</t>
      </text>
    </comment>
    <comment authorId="0" ref="C104">
      <text>
        <t xml:space="preserve">Treats decisions as learning opportunities</t>
      </text>
    </comment>
    <comment authorId="0" ref="C107">
      <text>
        <t xml:space="preserve">Celebrates team wins and welcomes perspectives</t>
      </text>
    </comment>
    <comment authorId="0" ref="C108">
      <text>
        <t xml:space="preserve">Offers support and acknowledges contributions</t>
      </text>
    </comment>
    <comment authorId="0" ref="C109">
      <text>
        <t xml:space="preserve">Creates space for authentic expression</t>
      </text>
    </comment>
    <comment authorId="0" ref="C112">
      <text>
        <t xml:space="preserve">Ships early solutions and uses data smartly</t>
      </text>
    </comment>
    <comment authorId="0" ref="C113">
      <text>
        <t xml:space="preserve">Moves forward simply and stays adaptable</t>
      </text>
    </comment>
    <comment authorId="0" ref="C114">
      <text>
        <t xml:space="preserve">Explores and tests improvements independently</t>
      </text>
    </comment>
    <comment authorId="0" ref="C117">
      <text>
        <t xml:space="preserve">Gives feedback and contributes to growth culture</t>
      </text>
    </comment>
    <comment authorId="0" ref="C118">
      <text>
        <t xml:space="preserve">Brings insights to tough situations</t>
      </text>
    </comment>
    <comment authorId="0" ref="C119">
      <text>
        <t xml:space="preserve">Challenges assumptions and pushes for better</t>
      </text>
    </comment>
  </commentList>
</comments>
</file>

<file path=xl/sharedStrings.xml><?xml version="1.0" encoding="utf-8"?>
<sst xmlns="http://schemas.openxmlformats.org/spreadsheetml/2006/main" count="1569" uniqueCount="712">
  <si>
    <t>Developer Evaluation Template</t>
  </si>
  <si>
    <t>Employee Name:</t>
  </si>
  <si>
    <t>Review Period:</t>
  </si>
  <si>
    <t>Reviewer:</t>
  </si>
  <si>
    <t>Position/Level:</t>
  </si>
  <si>
    <t>Senior Developer</t>
  </si>
  <si>
    <t>Date:</t>
  </si>
  <si>
    <t>Section</t>
  </si>
  <si>
    <t>Subsection</t>
  </si>
  <si>
    <t>Criteria</t>
  </si>
  <si>
    <t>Description</t>
  </si>
  <si>
    <t>IC Rating</t>
  </si>
  <si>
    <t>Role Model Rating</t>
  </si>
  <si>
    <t>Weight</t>
  </si>
  <si>
    <t>Evidence/Examples</t>
  </si>
  <si>
    <t>Notes</t>
  </si>
  <si>
    <t>OVERALL ASSESSMENT</t>
  </si>
  <si>
    <t>Engineering Craft</t>
  </si>
  <si>
    <t>Soft Skills</t>
  </si>
  <si>
    <t>Leadership</t>
  </si>
  <si>
    <t>TOTAL WEIGHTED SCORE</t>
  </si>
  <si>
    <t>Performance Rating</t>
  </si>
  <si>
    <t>COMPANY VALUES ASSESSMENT</t>
  </si>
  <si>
    <t>Place Your Bets</t>
  </si>
  <si>
    <t>Decision Making</t>
  </si>
  <si>
    <t>Decides boldly acts quickly</t>
  </si>
  <si>
    <t>Fights inertia &amp; Empowers action</t>
  </si>
  <si>
    <t>Iterates for impact &amp; Challenges processes</t>
  </si>
  <si>
    <t>You're Welcome</t>
  </si>
  <si>
    <t>Team Success</t>
  </si>
  <si>
    <t>Team first &amp; Inclusive by default</t>
  </si>
  <si>
    <t>Quick to help &amp; Mutual recognition</t>
  </si>
  <si>
    <t>Safe to be real</t>
  </si>
  <si>
    <t>Learn Faster</t>
  </si>
  <si>
    <t>Rapid Learning</t>
  </si>
  <si>
    <t>Start small learn big &amp; Smart insights</t>
  </si>
  <si>
    <t>Action over analysis &amp; Resilience</t>
  </si>
  <si>
    <t>Proactive curiosity</t>
  </si>
  <si>
    <t>Exceptional</t>
  </si>
  <si>
    <t>High Standards</t>
  </si>
  <si>
    <t>Low ego high curiosity &amp; Raising bar</t>
  </si>
  <si>
    <t>Preparation and precision &amp; Always learning</t>
  </si>
  <si>
    <t>Bold thinking smart risks</t>
  </si>
  <si>
    <t>KEY STRENGTHS</t>
  </si>
  <si>
    <t>Strength 1</t>
  </si>
  <si>
    <t>Strength 2</t>
  </si>
  <si>
    <t>Strength 3</t>
  </si>
  <si>
    <t>DEVELOPMENT AREAS</t>
  </si>
  <si>
    <t>Development Area 1</t>
  </si>
  <si>
    <t>Development Area 2</t>
  </si>
  <si>
    <t>Development Area 3</t>
  </si>
  <si>
    <t>GOALS FOR NEXT PERIOD</t>
  </si>
  <si>
    <t>Success Metrics</t>
  </si>
  <si>
    <t>Timeline</t>
  </si>
  <si>
    <t>Goal 1</t>
  </si>
  <si>
    <t>Goal 2</t>
  </si>
  <si>
    <t>Goal 3</t>
  </si>
  <si>
    <t>SUPPORT NEEDED</t>
  </si>
  <si>
    <t>Training/Courses</t>
  </si>
  <si>
    <t>Mentoring</t>
  </si>
  <si>
    <t>Tools/Technology</t>
  </si>
  <si>
    <t>Project Opportunities</t>
  </si>
  <si>
    <t>Other</t>
  </si>
  <si>
    <t>CAREER DEVELOPMENT</t>
  </si>
  <si>
    <t>Current Level</t>
  </si>
  <si>
    <t>Next Level Goals</t>
  </si>
  <si>
    <t>Timeline for Advancement</t>
  </si>
  <si>
    <t>Skills/Experience Needed</t>
  </si>
  <si>
    <t>SIGNATURES</t>
  </si>
  <si>
    <t>Employee Signature</t>
  </si>
  <si>
    <t>Name &amp; Date</t>
  </si>
  <si>
    <t>Manager Signature</t>
  </si>
  <si>
    <t>HR Review</t>
  </si>
  <si>
    <t>Junior Developer</t>
  </si>
  <si>
    <t>Confirmed Developer</t>
  </si>
  <si>
    <t>Staff Developer</t>
  </si>
  <si>
    <t>Senior Staff Developer</t>
  </si>
  <si>
    <t>Principal Developer</t>
  </si>
  <si>
    <t>ENGINEERING CRAFT</t>
  </si>
  <si>
    <t>Writing Code</t>
  </si>
  <si>
    <t>Quality</t>
  </si>
  <si>
    <t>Documentation</t>
  </si>
  <si>
    <t>Language</t>
  </si>
  <si>
    <t>Testing</t>
  </si>
  <si>
    <t>Testing your code</t>
  </si>
  <si>
    <t>Improving coverage</t>
  </si>
  <si>
    <t>Taking responsibility</t>
  </si>
  <si>
    <t>Leading testing strategy</t>
  </si>
  <si>
    <t>Advocating for testing</t>
  </si>
  <si>
    <t>Technical Understanding &amp; Prioritisation</t>
  </si>
  <si>
    <t>Understanding code</t>
  </si>
  <si>
    <t>Technical collaboration</t>
  </si>
  <si>
    <t>Work breakdown</t>
  </si>
  <si>
    <t>Task prioritisation</t>
  </si>
  <si>
    <t>Software Architecture</t>
  </si>
  <si>
    <t>Reaction to feedback</t>
  </si>
  <si>
    <t>Code</t>
  </si>
  <si>
    <t>Design</t>
  </si>
  <si>
    <t>Development</t>
  </si>
  <si>
    <t>Technical debt</t>
  </si>
  <si>
    <t>Security</t>
  </si>
  <si>
    <t>Knowledge</t>
  </si>
  <si>
    <t>User data</t>
  </si>
  <si>
    <t>Reporting</t>
  </si>
  <si>
    <t>Proactivity</t>
  </si>
  <si>
    <t>Collaboration</t>
  </si>
  <si>
    <t>Strategy</t>
  </si>
  <si>
    <t>Debugging &amp; Monitoring</t>
  </si>
  <si>
    <t>Debugging</t>
  </si>
  <si>
    <t>Tools</t>
  </si>
  <si>
    <t>Philosophy</t>
  </si>
  <si>
    <t>Data</t>
  </si>
  <si>
    <t>Profiling</t>
  </si>
  <si>
    <t>SOFT SKILLS</t>
  </si>
  <si>
    <t>Empathy &amp; Humility</t>
  </si>
  <si>
    <t>Credit and blame</t>
  </si>
  <si>
    <t>Understanding others</t>
  </si>
  <si>
    <t>Mediation and facilitation</t>
  </si>
  <si>
    <t>Communication</t>
  </si>
  <si>
    <t>Keeping people informed</t>
  </si>
  <si>
    <t>Looking for feedback</t>
  </si>
  <si>
    <t>Delivering bad news</t>
  </si>
  <si>
    <t>Mentoring communicators</t>
  </si>
  <si>
    <t>Initiative</t>
  </si>
  <si>
    <t>Can-do attitude</t>
  </si>
  <si>
    <t>Pro-activity in seeking help</t>
  </si>
  <si>
    <t>Follow through</t>
  </si>
  <si>
    <t>Objectivity &amp; Adaptability</t>
  </si>
  <si>
    <t>Efficient decision-making</t>
  </si>
  <si>
    <t>Self improvement</t>
  </si>
  <si>
    <t>Objectivity</t>
  </si>
  <si>
    <t>Time management</t>
  </si>
  <si>
    <t>Business Acumen</t>
  </si>
  <si>
    <t>Understanding level</t>
  </si>
  <si>
    <t>LEADERSHIP</t>
  </si>
  <si>
    <t>Hiring and Org Design</t>
  </si>
  <si>
    <t>Deploying Teams</t>
  </si>
  <si>
    <t>Employer Brand</t>
  </si>
  <si>
    <t>Hiring</t>
  </si>
  <si>
    <t>Stakeholder Management</t>
  </si>
  <si>
    <t>Managing Goals and Expectations</t>
  </si>
  <si>
    <t>Foresight</t>
  </si>
  <si>
    <t>Engendering Trust</t>
  </si>
  <si>
    <t>Protecting the Team</t>
  </si>
  <si>
    <t>Team Leadership</t>
  </si>
  <si>
    <t>Putting the Team first</t>
  </si>
  <si>
    <t>Difficult Conversations</t>
  </si>
  <si>
    <t>Reliability</t>
  </si>
  <si>
    <t>Vulnerability</t>
  </si>
  <si>
    <t>Developing Others</t>
  </si>
  <si>
    <t>Identifying strengths</t>
  </si>
  <si>
    <t>Supporting team growth</t>
  </si>
  <si>
    <t>Investing in process</t>
  </si>
  <si>
    <t>Feedback on work</t>
  </si>
  <si>
    <t>Culture &amp; Togetherness</t>
  </si>
  <si>
    <t>Setting an Example</t>
  </si>
  <si>
    <t>Encouraging diverse opinions</t>
  </si>
  <si>
    <t>Developing personal relationships</t>
  </si>
  <si>
    <t>key</t>
  </si>
  <si>
    <t>Order</t>
  </si>
  <si>
    <t>Level</t>
  </si>
  <si>
    <t>Role model Rating</t>
  </si>
  <si>
    <t>Weights</t>
  </si>
  <si>
    <t>The ability to contribute high quality code to production environments.
Is able to consistently write testable, readable code across larger more complex projects.</t>
  </si>
  <si>
    <t>Your code has always followed correct convention, requiring only minor improvements.
You've made trade-offs knowingly.</t>
  </si>
  <si>
    <t>You've regularly documented your code and looked to improve documentation elsewhere.</t>
  </si>
  <si>
    <t>You're committing quality code in at least one language and have a working understanding of other languages your team needs.</t>
  </si>
  <si>
    <t>N/A</t>
  </si>
  <si>
    <t>The ability to understand and implement great testing practices.
Understands how to test code, and the valuable role that testing plays.</t>
  </si>
  <si>
    <t>You consistently write solid unit tests, sometimes with help from more senior engineers.</t>
  </si>
  <si>
    <t>You've spotted small areas of low test coverage and patched them.</t>
  </si>
  <si>
    <t>You've consistently ensured that your code passes tests before creating or merging pull requests</t>
  </si>
  <si>
    <t>The ability to develop technical understanding and use this to prioritise tasks appropriately.
Shows some confidence in technical understanding including the importance of prioritisation.</t>
  </si>
  <si>
    <t>You are able to gain context within the team's domain with occasional help from more senior engineers.
You are comfortable with the basics of code interface design and are learning to be more intentional.</t>
  </si>
  <si>
    <t>You communicate accurately about all technical subjects in your work.</t>
  </si>
  <si>
    <t>You understand the importance of rightsizing tasks for incremental delivery plus continuous integration.</t>
  </si>
  <si>
    <t>You can plan work tasks with help from team members and manager. You deliver based on the agreed priority of works tasks.</t>
  </si>
  <si>
    <t>The ability to interact and engage with architectural approaches of the organization.
Is able to design basic functions, avoiding duplication across codebases and interface-breaking changes based on an understanding of the overall service architecture</t>
  </si>
  <si>
    <t>You understand the feedback given and applies it consistently to your work</t>
  </si>
  <si>
    <t>You are comfortable with the basics of code interface design, and are learning to be more intentional.</t>
  </si>
  <si>
    <t>You can usually recognize technical debt and can pay it down when advised.</t>
  </si>
  <si>
    <t>The ability to understand and apply security principles, handle user data appropriately and report security concerns.
Is able to understand the importance of security.</t>
  </si>
  <si>
    <t>You understand basic security principles and apply them to your daily work.</t>
  </si>
  <si>
    <t>You understand the importance of handling user data and do so responsibly.</t>
  </si>
  <si>
    <t>You immediately report security concerns to manager or security teams.</t>
  </si>
  <si>
    <t>The ability to understand and implement systematic debugging and monitoring practices to diagnose issues.
Understands debugging basics, the appropriate tools to use and is beginning to implement good monitoring practices.</t>
  </si>
  <si>
    <t>You are able do basic code profiling and optimize obvious bugs</t>
  </si>
  <si>
    <t>You use out-of-the box tools to instrument and monitor systems with occasional help from senior engineers.</t>
  </si>
  <si>
    <t>You understand the team's monitoring philosophy and work comfortably within it.</t>
  </si>
  <si>
    <t>The ability to share someone else's feelings or experiences by imagining what it would be like to be in that person's situation.
Constantly pushes for a better understanding of the needs and perspectives of those outside their own viewpoint.</t>
  </si>
  <si>
    <t>You actively look to ensure praise is shared fairly when given to you. If someone else is blamed for your mistake, you own up.</t>
  </si>
  <si>
    <t>You regularly and actively ask others for their opinions with the goal of better understanding where they're coming from.</t>
  </si>
  <si>
    <t>You have de-escalated disagreements amongst your peers, looking for common ground.</t>
  </si>
  <si>
    <t>You've proactively developed at least one informal mentoring relationship through your ability to understand a peer or subordinate.</t>
  </si>
  <si>
    <t>The ability to communicate well with those around you with sensitivity to timeliness, medium, brevity and tone.
Communicates with wider team, feeds back on communication of others.</t>
  </si>
  <si>
    <t>You communicate work updates from your peers across your wider team, and respond to feedback in a timely manner.</t>
  </si>
  <si>
    <t>You consistently ask for critique on your thinking from a wider group, and inform the group which elements you're incorporating into your work.</t>
  </si>
  <si>
    <t>You recognise when you need help from outside your immediate peers and asked for it effectively.</t>
  </si>
  <si>
    <t>You are able to unpick the communication of others around you and offer advice and feedback.</t>
  </si>
  <si>
    <t>The ability to use your judgment to make decisions and do things without needing to be told what to do.
Doesn't wait to be asked. Open minded about their own skillset.</t>
  </si>
  <si>
    <t>You repeatedly demonstrate a positive attitude when given new projects.</t>
  </si>
  <si>
    <t>If you're stuck on something, you seek help quickly from the correct party.</t>
  </si>
  <si>
    <t>You've taken on a small piece of work with ill-defined or unknown requirements and helped to push through to a successful outcome.</t>
  </si>
  <si>
    <t>The ability to deal with problems based on conditions that really exist, rather than following fixed theories, ideas, or rules, and to adapt to suit different conditions.
Able to be objective in evaluating their own work and comfortable and accepting of new contexts and roles.</t>
  </si>
  <si>
    <t>You regularly make decisions regarding the direction of your own work in a timely manner.</t>
  </si>
  <si>
    <t>You can name three activities which give you energy, and three which drain you.</t>
  </si>
  <si>
    <t>You allow your plan to be changed by new information.</t>
  </si>
  <si>
    <t>You look to reduce or change the scope of your work to meet a timeline or criteria not set by you.</t>
  </si>
  <si>
    <t>Has a basic understanding of their team's domain and related marketplace.</t>
  </si>
  <si>
    <t>The ability to understand the needs of the business and ensure that your team can meet them.
A competent interviewer. Able to follow a structured hiring process, and make a decision.</t>
  </si>
  <si>
    <t>The ability to ensure that teams are protected and expectations are set correctly.
Is able to keep tangential teams informed and expectations managed around everyday work updates.
Uses judgement about others' reaction when disclosing information and opinions.</t>
  </si>
  <si>
    <t>You lead on successful projects with external clients, internal stakeholders or partners with a successful outcome, ensuring goals are understood throughout.</t>
  </si>
  <si>
    <t>You work to inform departments, stakeholders or clients of an issue they face without being asked or expected to do so.</t>
  </si>
  <si>
    <t>You bring stakeholders or clients into a process in a way that makes best use of their time and their strengths.</t>
  </si>
  <si>
    <t>You manage a client or stakeholder relationship for a project.</t>
  </si>
  <si>
    <t>The ability to maintain quality, efficiency and establish trust in your ability.</t>
  </si>
  <si>
    <t>The ability to develop the skillsets and abilities of your team.</t>
  </si>
  <si>
    <t>The ability to bring groups together and foster a happy and productive environment.
Actively signals according to behaviour they want to see.
Keeps a cool head around others even in stressful situations.
Is involved in the planning and organising of team activities.</t>
  </si>
  <si>
    <t>You state your expectations of how your team should work and act, then demonstrate those expectations yourself.
You ask for feedback on your signalling and make a changes where appropriate.</t>
  </si>
  <si>
    <t>You help to organise and activate efforts towards a fairer, more diverse and safer workplace.</t>
  </si>
  <si>
    <t>You invest in the relationships you are fostering with your team. You respect the sanctity of pastoral care and 1:1 time. You don't cancel and are never late.</t>
  </si>
  <si>
    <t>The ability to contribute high quality code to production environments.
Is able to consistently write production-ready code across large, complex projects.</t>
  </si>
  <si>
    <t>You're regularly trusted to lead complex and business-critical coding projects, including guiding others.</t>
  </si>
  <si>
    <t>Your code is consistently self-documenting where possible. You've regularly maintained, improved and extended existing documentation unprompted.</t>
  </si>
  <si>
    <t>You're committing quality code in any language your team needs OR you're best in class at one language.</t>
  </si>
  <si>
    <t>You have mentored several junior engineers around code quality.</t>
  </si>
  <si>
    <t>The ability to understand and implement great testing practices.
Understands the importance of a testing strategy, with growing levels of autonomy.</t>
  </si>
  <si>
    <t>You usually write detailed unit and functional tests covering edge cases as well as happy paths.</t>
  </si>
  <si>
    <t>You've improved test coverage in adjacent areas of code to your own without being asked.</t>
  </si>
  <si>
    <t>You've ensured that code committed by your immediate team is well tested and passing</t>
  </si>
  <si>
    <t>The ability to develop technical understanding and use this to prioritise tasks appropriately.
Is able to display a clear technical confidence and understanding, prioritises tasks and acts accordingly.</t>
  </si>
  <si>
    <t>You understand a good amount of the team's domain, and can gain sufficient context to work productively within that.</t>
  </si>
  <si>
    <t>You can lead technical explanations when appropriate. You know when to listen and give space to team members.</t>
  </si>
  <si>
    <t>In advance of starting, you ensure that tasks are appropriately sized for incremental delivery and continuous integration, with some help from team members and your manager.</t>
  </si>
  <si>
    <t>You act according to task prioritisation whilst noting task dependencies.</t>
  </si>
  <si>
    <t>The ability to interact and engage with architectural approaches of the organization.
Has a good understanding of, and designs functions that are aligned with, the overall service architecture.</t>
  </si>
  <si>
    <t>You show a good intuition for code interface design.</t>
  </si>
  <si>
    <t>You consistently look for opportunities to learn from other projects and teams.</t>
  </si>
  <si>
    <t>You consistently recognize technical debt and look for opportunities to negotiate and pay it down incrementally.</t>
  </si>
  <si>
    <t>The ability to understand and apply security principles, handle user data appropriately and report security concerns.
Is able to understand the importance of security and starts to see work through a security lens.</t>
  </si>
  <si>
    <t>You understand general security principles and apply them to your daily work.
You ask more senior engineers for help on making decisions that may have security implications.</t>
  </si>
  <si>
    <t>You understand the importance of handling user data and does so responsibly without exception.</t>
  </si>
  <si>
    <t>You immediately reports security concerns to manager or security teams.</t>
  </si>
  <si>
    <t>You can do multi application and multi layer profiling without support and optimize almost all bugs.</t>
  </si>
  <si>
    <t>You customize out of the box tools, and on occasion create small custom tools to instrument and monitor systems.</t>
  </si>
  <si>
    <t>You understand the organization's monitoring philosophy. You help tune and change the monitoring philosophy on your team.</t>
  </si>
  <si>
    <t>You understand the operational data for your team's domain.</t>
  </si>
  <si>
    <t>The ability to use your judgment to make decisions and do things without needing to be told what to do.
You show a good intuition for code interface design.</t>
  </si>
  <si>
    <t>You see opportunity in every piece of work, however outwardly mundane or solved.</t>
  </si>
  <si>
    <t>When your team is stuck on something, you are quick to suggest that you all adjust focus, reframe a problem or talk to someone new.</t>
  </si>
  <si>
    <t>You lead medium to large projects with unknown requirements and helped drive to a successful outcome.</t>
  </si>
  <si>
    <t>The ability to deal with problems based on conditions that really exist, rather than following fixed theories, ideas, or rules, and to adapt to suit different conditions.
Is able to change their mind over strongly-held beliefs and pursue a new path with no loss of velocity.</t>
  </si>
  <si>
    <t>You help your immediate peers to make decisions based on what projects need, not what they feel most comfortable doing.</t>
  </si>
  <si>
    <t>You use your development areas to build improvement goals for yourself and see improvements over time.</t>
  </si>
  <si>
    <t>You look for new information, assuming that you don't know everything. You can point to examples when you had a strong opinion changed for the better.</t>
  </si>
  <si>
    <t>You actively flag when you think something can be achieved more quickly, even if it was your plan initially and it will involve admitting fault.</t>
  </si>
  <si>
    <t>Has a basic understanding of their team's domain, and how it contributes to overall business strategy.</t>
  </si>
  <si>
    <t>You've carved out an additional role for yourself or peers to fulfil a need that a team has.</t>
  </si>
  <si>
    <t>You've helped to establish the company as a good employer through promotion on stage or online.
You've inputted into the company's careers pages.</t>
  </si>
  <si>
    <t>You are regularly part of hiring panels, and have been hiring manager for at least one hire that passed probation.</t>
  </si>
  <si>
    <t>The ability to ensure that teams are protected and expectations are set correctly.
Known for being efficient and reliable, and doing what they say they will do.
Proactively managed expectations even when it results in frustration or personal reputation risk.</t>
  </si>
  <si>
    <t>You lead multiple smaller projects with external clients or internal stakeholders, with a successful outcome.</t>
  </si>
  <si>
    <t>You anticipate issues or requirements on projects in advance and work to raise those with key people outside your team.
This has resulted in noticeable efficiency gains.</t>
  </si>
  <si>
    <t>You run several small to medium sized projects in a leadership capacity, working closely with clients and stakeholders with positive reviews.</t>
  </si>
  <si>
    <t>You create space for others in your team to do their best work by managing client or stakeholder relationships.</t>
  </si>
  <si>
    <t>The ability to develop the skillsets and abilities of your team</t>
  </si>
  <si>
    <t>The ability to bring groups together and foster a happy and productive environment.
Actively signals according to behaviour they want to see.
Keeps a cool head around others even in stressful situations. Is involved in the planning and organising of team activities.</t>
  </si>
  <si>
    <t>Your code is consistently self-documenting where possible.
You've regularly maintained, improved and extended existing documentation unprompted.</t>
  </si>
  <si>
    <t>The ability to understand and implement great testing practices.
Independently testing, advising the rest of the team on quality of tests.</t>
  </si>
  <si>
    <t>You always write full tests for your code unassisted, covering all edge cases even with complex functionality.</t>
  </si>
  <si>
    <t>You've worked to improve the quality of your own and your team's test coverage.</t>
  </si>
  <si>
    <t>You consistently look for and can recall quality metrics to demonstrate your test coverage, and monitor in behalf of your team.</t>
  </si>
  <si>
    <t>The ability to develop technical understanding and use this to prioritise tasks appropriately.
Is a technical and prioritisation leader within the team, including taking some ownership of other team members' technical growth and development.</t>
  </si>
  <si>
    <t>You understand your team's domain at a high level, including the breadth of services, how they interact, and data flows between systems.
You understand adjacent domains as they affect your team.</t>
  </si>
  <si>
    <t>You actively facilitate technical discussions between team members and have a deep familiarity with technical topics under discussion</t>
  </si>
  <si>
    <t>You review projects critically, ensuring they are appropriately delineated and understood by the team.</t>
  </si>
  <si>
    <t>You ensure tasks are prioritised correctly, and that dependencies are noted and well understood by the team, including at the epic level.
You foster a culture of priority setting and highlight the importance of alignment with organizational strategy</t>
  </si>
  <si>
    <t>The ability to interact and engage with architectural approaches of the organization.
Is able to consistently design code that is aligned with the overall service architecture.</t>
  </si>
  <si>
    <t>You are able to utilize abstractions and code isolation effectively.</t>
  </si>
  <si>
    <t>You have deep architectural and design pattern experience.
You consult with team members only on more difficult designs.
You set up new projects to ensure architectural success by anticipating future use cases and making design decisions that minimize the cost of future changes</t>
  </si>
  <si>
    <t>You make plans with technical debt in mind, and how you will pay it down incrementally and consistently.
You advise other team members on recognising and considering it</t>
  </si>
  <si>
    <t>The ability to understand and apply security principles, handle user data appropriately and report security concerns.
Consistently approaches all engineering work with a security lens.</t>
  </si>
  <si>
    <t>You have an excellent understanding of security principles and you work to better facilitate the team's understanding.</t>
  </si>
  <si>
    <t>You have faultless handling of user data, and set an example for others within the team.</t>
  </si>
  <si>
    <t>You actively look for security vulnerabilities both in the code and when providing peer reviews.</t>
  </si>
  <si>
    <t>You work with the security teams to help refine technical strategy.</t>
  </si>
  <si>
    <t>The ability to understand and implement systematic debugging and monitoring practices to diagnose issues.
Uses systematic debugging to diagnose all issues located to a single service and drives monitoring work across the team.</t>
  </si>
  <si>
    <t>You use systematic debugging to diagnose cross service issues, sometimes with help from more senior engineers.</t>
  </si>
  <si>
    <t>You can judge whether a new tool is necessary to instrument and monitor systems. You can create that tool if required.</t>
  </si>
  <si>
    <t>You understand the cross-functional and cross-organization implications of your team's monitoring philosophy.
You proactively seek to refine the monitoring philosophy of your team.</t>
  </si>
  <si>
    <t>You are aware of the operational data for your team and use it as a basis for driving changes to your team's services to achieve stability and performance improvements.</t>
  </si>
  <si>
    <t>You act as a primary mentor for the rest of their team on running systems.</t>
  </si>
  <si>
    <t>The ability to share someone else's feelings or experiences by imagining what it would be like to be in that person's situation.
A great person to have in any room.
Trusted by peers and their team.
Can take any problem team and help them drive in the same direction.</t>
  </si>
  <si>
    <t>You're an ally to your peers and wider team, protecting them from undue blame and pushing praise onto them.
You regularly look for opportunities to give praise publicly.</t>
  </si>
  <si>
    <t>You are able to recognise bias in others and help them to see their peers, customers or stakeholders through fresh eyes.</t>
  </si>
  <si>
    <t>You help teams within your organisation get closer to each other and understand each other's viewpoints.</t>
  </si>
  <si>
    <t>You've proactively developed multiple informal or formal mentoring relationship through your ability to understand a peer or subordinate.</t>
  </si>
  <si>
    <t>The ability to communicate well with those around you with sensitivity to timeliness, medium, brevity and tone.
Communicates with organisation, helps others in team to communicate.</t>
  </si>
  <si>
    <t>You communicate on behalf of your team to the broader organisation on important or divisive projects, handling any questions in a timely manner.</t>
  </si>
  <si>
    <t>You proactively ask for feedback from important stakeholders in your organisation early in your work.</t>
  </si>
  <si>
    <t>You communicate changes of plan or slip in timelines to a broad group within your organisation and manage expectations effectively until resolution.</t>
  </si>
  <si>
    <t>You set up processes around more effective communication for your immediate team, and manage its implementation. You proactively offer good feedback to peers on their communication methods.</t>
  </si>
  <si>
    <t>The ability to use your judgment to make decisions and do things without needing to be told what to do.
Refuses to believe that anything is unachievable.
Infectious desire to activate and progress.
Drives others to create their best work.
Like a rocket: just light the fuse.</t>
  </si>
  <si>
    <t>You're constantly creating new opportunities for yourself and those around you.
Your team is celebrated for innovation as a result of your contributions.</t>
  </si>
  <si>
    <t>You recognise a lack of expertise in yourself and your organisation, and pro-actively found that expertise in areas not given to you.
This leads to a successful outcome on more than one occasion.</t>
  </si>
  <si>
    <t>You adapt your skillset and knowledge to lead large or complex projects to a successful outcome.</t>
  </si>
  <si>
    <t>The ability to deal with problems based on conditions that really exist, rather than following fixed theories, ideas, or rules, and to adapt to suit different conditions.
Can take problems outside their skillset and quickly adapt to solve them. Helps other peers to do the same.</t>
  </si>
  <si>
    <t>You help your team to make decisions in a more timely manner, breaking down assumptions about the shape of the work and encouraging people to value done over perfect.</t>
  </si>
  <si>
    <t>You can point to several areas of improvement resulting from your focus on improving development areas over time.</t>
  </si>
  <si>
    <t>You are positive in the face of dramatic changes of plans.
Curveballs are dealt with sensibly without frustration.</t>
  </si>
  <si>
    <t>You're in control of your calendar.
You take no issue with not being involved in a project or meeting if it means saving you time.</t>
  </si>
  <si>
    <t>Has a thorough understanding of their team's domain, and how it contributes to overall business strategy.
Has a basic understanding of adjacent teams' business domains.</t>
  </si>
  <si>
    <t>The ability to ensure that teams are protected and expectations are set correctly.
Is able to proactively inform stakeholders both within and outside the organisation with pertinent and timely information, including bad news.
Able to read and adapt to personalities across the organisation. Has good relationships with all key stakeholders.</t>
  </si>
  <si>
    <t>You lead multiple larger projects with external clients or internal stakeholders, including managing bad news and scope creep or timeline slippage, with successful outcomes.</t>
  </si>
  <si>
    <t>You look for misalignment across large scopes of work involving multiple clients or stakeholders, and ensure that they're smoothed out in advance.</t>
  </si>
  <si>
    <t>You've repeatedly proven yourself able to work closely with clients or stakeholders in ways that earn respect and results. You use their time wisely and lean into their knowledge.</t>
  </si>
  <si>
    <t>You protect direct reports from difficult stakeholders across multiple projects.</t>
  </si>
  <si>
    <t>The ability to maintain quality, efficiency and establish trust in your ability.
Capable of informally managing interns, contractors, suppliers and agencies.
Possibly manages one or two junior team members.
Doesn't look for glory, and doesn't complain about boring work.
Assumes good decisions in others work.
Broadly does what they say they're going to do.</t>
  </si>
  <si>
    <t>You regularly make time for listening to and understanding the people you're responsible for.</t>
  </si>
  <si>
    <t>You have helped someone on your team out with a difficult personal decision and acted in an objective, professional manner.</t>
  </si>
  <si>
    <t>You have been open about your intentions when making a team-level decision – for example moving people between teams or introducing new role expectations – and followed through.</t>
  </si>
  <si>
    <t>You have proactively admitted fault and weakness in yourself to team members, and admitted a mistake made in work you've done.</t>
  </si>
  <si>
    <t>The ability to develop the skillsets and abilities of your team.
Able to recognise the strengths of peers, and look for ways to support those strengths through project work.
Has invested time in materials or process to support team growth.
Peers see them as an informal coach.</t>
  </si>
  <si>
    <t>You recognise natural strengths in your peers which you help them to nurture.</t>
  </si>
  <si>
    <t>You support and champion peers in their personal growth, celebrating a promotion, successful project or praise from others.</t>
  </si>
  <si>
    <t>You invest in your future through a process of skills assessment to define your future direction.</t>
  </si>
  <si>
    <t>Your feedback to peers on their work is honest, actionable and timely.
You put the needs of the project over personal inhibitions.
You're comfortable with having your mind changed.</t>
  </si>
  <si>
    <t>The ability to bring groups together and foster a happy and productive environment.
Works to build and document behaviours they expect to see.
Has trusted relationships with both junior colleagues and peers, and can describe where the organisation is strong or needs development.
Organises regular team activities.</t>
  </si>
  <si>
    <t>You make an effort to document a cultural charter for your team, which you cite regularly and stick to rigorously.
If you break your rules, you expect to be called out.</t>
  </si>
  <si>
    <t>You're leading efforts to improve diversity in your everyday environment, organising working groups, events and discussion across large parts of your organisation.</t>
  </si>
  <si>
    <t>You make a point of knowing all about the people who report directly to you.
You build close yet professional relationships with all direct reports fostering good levels of trust.</t>
  </si>
  <si>
    <t>The ability to contribute exceptional code quality and serve as a technical leader across multiple teams.
Recognized as a go-to expert who influences coding practices and technical decisions within their domain and related areas.</t>
  </si>
  <si>
    <t>You're recognized as a technical authority across multiple teams, establishing coding standards and best practices that are adopted by related teams. You evaluate and recommend new technologies for your domain.</t>
  </si>
  <si>
    <t>You create comprehensive documentation strategies for complex projects spanning multiple teams, establishing patterns and practices that others follow.</t>
  </si>
  <si>
    <t>You're highly proficient in multiple programming languages and serve as the domain expert for your primary technology stack, guiding technology decisions across related teams.</t>
  </si>
  <si>
    <t>You actively mentor senior engineers across multiple teams, helping them develop technical leadership skills and deep domain expertise.</t>
  </si>
  <si>
    <t>The ability to design and implement comprehensive testing strategies across multiple teams.
Serves as a testing expert who influences quality practices beyond their immediate team.</t>
  </si>
  <si>
    <t>You design testing strategies for complex, multi-team projects, establishing testing frameworks and practices that ensure quality across your domain.</t>
  </si>
  <si>
    <t>You're consulted by multiple teams when designing testing approaches for new features and systems, serving as the go-to expert for testing strategy in your domain.</t>
  </si>
  <si>
    <t>The ability to understand complex technical systems across multiple teams and drive effective technical prioritization.
Bridges technical complexity with business needs across related domains.</t>
  </si>
  <si>
    <t>You have deep expertise across multiple related teams' domains, understanding complex system interactions and serving as the authority on technical architecture within your area.</t>
  </si>
  <si>
    <t>You proactively identify and address technical knowledge gaps across multiple teams, facilitating collaboration and knowledge sharing.</t>
  </si>
  <si>
    <t>You lead the technical breakdown of complex initiatives spanning multiple teams, ensuring proper planning and coordination.</t>
  </si>
  <si>
    <t>You help multiple teams align their technical priorities with business objectives, ensuring efficient use of engineering resources across your domain.</t>
  </si>
  <si>
    <t>The ability to design and influence architectural decisions across multiple teams.
Drives architectural consistency and quality within their domain while contributing to broader organizational patterns.</t>
  </si>
  <si>
    <t>You lead architectural decisions for complex, multi-team initiatives, designing systems that support both current needs and future growth within your domain.</t>
  </si>
  <si>
    <t>You work with architecture teams to implement domain-specific architectural patterns, often leading proof-of-concept work for significant technical initiatives.</t>
  </si>
  <si>
    <t>You manage technical debt strategically across multiple teams, making informed decisions about when to incur debt and when to prioritize paying it down.</t>
  </si>
  <si>
    <t>The ability to implement and promote security best practices across multiple teams.
Serves as a security champion who ensures secure development practices within their domain.</t>
  </si>
  <si>
    <t>You have strong understanding of security principles and regularly share this knowledge across multiple teams, establishing security practices within your domain.</t>
  </si>
  <si>
    <t>You ensure proper handling of user data across multiple teams' systems, establishing patterns and practices for data protection.</t>
  </si>
  <si>
    <t>You collaborate with security teams to implement security strategies within your domain, ensuring alignment with organizational security goals.</t>
  </si>
  <si>
    <t>The ability to implement systematic debugging and monitoring practices across multiple teams.
Creates observability strategies that provide insights across complex, multi-team systems.</t>
  </si>
  <si>
    <t>You can diagnose and resolve complex issues that span multiple teams' systems, often serving as the escalation point for difficult technical problems.</t>
  </si>
  <si>
    <t>You establish monitoring and observability practices across multiple teams, promoting a culture of proactive issue detection and resolution.</t>
  </si>
  <si>
    <t>You design monitoring strategies that provide insights across multiple teams' systems, enabling data-driven decisions about system health and performance.</t>
  </si>
  <si>
    <t>You're skilled at performance optimization across multiple technology stacks, capable of solving complex performance challenges that affect multiple teams.</t>
  </si>
  <si>
    <t>You develop debugging and monitoring skills across multiple teams, mentoring engineers on systematic approaches to problem-solving.</t>
  </si>
  <si>
    <t>Demonstrates strong emotional intelligence and serves as a role model for collaborative leadership across multiple teams.
Works to improve team dynamics and represents diverse perspectives in technical and strategic discussions.</t>
  </si>
  <si>
    <t>You consistently redirect credit to team members and absorb unproductive blame, protecting multiple teams and fostering a positive culture.</t>
  </si>
  <si>
    <t>You're often asked to help bridge understanding between different teams and stakeholders, improving collaboration and reducing conflict.</t>
  </si>
  <si>
    <t>You facilitate complex technical discussions involving multiple teams, helping find solutions and build consensus around technical decisions.</t>
  </si>
  <si>
    <t>You maintain mentoring relationships with engineers across multiple teams, contributing to their professional development and career growth.</t>
  </si>
  <si>
    <t>Strong communication skills that influence technical direction and team collaboration across multiple teams.
Serves as a bridge between technical teams and stakeholders.</t>
  </si>
  <si>
    <t>You communicate complex technical initiatives across multiple teams and to various stakeholders, ensuring clear understanding and alignment.</t>
  </si>
  <si>
    <t>You actively seek feedback from stakeholders across multiple teams and incorporate this input into technical planning and execution.</t>
  </si>
  <si>
    <t>You handle difficult communications across multiple teams, managing expectations and maintaining relationships during challenging technical situations.</t>
  </si>
  <si>
    <t>You help improve communication practices across multiple teams, coaching engineers on effective technical communication.</t>
  </si>
  <si>
    <t>Demonstrates strong drive and creates opportunities that benefit multiple teams.
Consistently identifies and leads initiatives that drive significant technical and business value.</t>
  </si>
  <si>
    <t>You consistently identify opportunities to improve technical practices and business outcomes across multiple teams, leading initiatives that create lasting value.</t>
  </si>
  <si>
    <t>You build relationships and seek expertise both within and outside your immediate domain, bringing valuable knowledge and capabilities to multiple teams.</t>
  </si>
  <si>
    <t>You lead complex technical initiatives involving multiple teams to successful completion, adapting your approach as needed to ensure success.</t>
  </si>
  <si>
    <t>Demonstrates sound judgment and adaptability in complex technical contexts.
Makes balanced decisions that consider multiple perspectives and drives improvement across teams.</t>
  </si>
  <si>
    <t>You lead decision-making processes for complex technical initiatives involving multiple teams, establishing clear criteria and processes for effective decisions.</t>
  </si>
  <si>
    <t>You actively work to improve your own skills and help establish learning and development practices across multiple teams.</t>
  </si>
  <si>
    <t>You provide balanced perspective on technical and business trade-offs, helping teams focus on the most impactful work while maintaining high standards.</t>
  </si>
  <si>
    <t>You optimize processes and resource allocation across multiple teams, identifying opportunities to improve efficiency and focus on high-impact work.</t>
  </si>
  <si>
    <t>Good understanding of business context and the ability to connect technical decisions with business outcomes.
Influences technical direction to support business objectives across multiple teams.</t>
  </si>
  <si>
    <t>You have solid understanding of your domain's business context and how technical decisions impact business outcomes, with growing knowledge of adjacent business areas.</t>
  </si>
  <si>
    <t>Contributes to talent acquisition and team structure decisions across multiple teams.
Helps shape hiring practices and organizational design within their domain.</t>
  </si>
  <si>
    <t>You help design team structures and roles that optimize for technical and business outcomes across multiple related teams.</t>
  </si>
  <si>
    <t>You contribute to the organization's technical reputation through conference talks, blog posts, and participation in technical communities.</t>
  </si>
  <si>
    <t>You're actively involved in hiring for multiple teams, serving as a hiring manager for mid-level to senior positions and helping establish hiring standards.</t>
  </si>
  <si>
    <t>Manages relationships with key stakeholders across multiple teams and business units.
Builds trust and delivers results while protecting team interests.</t>
  </si>
  <si>
    <t>You successfully manage stakeholder relationships across multiple teams and projects, consistently delivering results while maintaining good relationships.</t>
  </si>
  <si>
    <t>Your technical and business insight helps multiple teams anticipate challenges and opportunities, contributing to better planning and execution.</t>
  </si>
  <si>
    <t>You're trusted by stakeholders across multiple teams and business units, often serving as the primary technical contact for complex initiatives.</t>
  </si>
  <si>
    <t>You shield multiple teams from unnecessary distractions and pressures, identifying and resolving issues that could impact team effectiveness.</t>
  </si>
  <si>
    <t>Leads and influences multiple teams through technical expertise and collaborative leadership.
Demonstrates leadership skills that inspire others and improve team effectiveness.</t>
  </si>
  <si>
    <t>You consistently prioritize the needs of multiple teams, taking on challenging work and administrative tasks to enable team success.</t>
  </si>
  <si>
    <t>You handle challenging conversations about technical direction, performance, and resource allocation across multiple teams with professionalism and care.</t>
  </si>
  <si>
    <t>You're known for consistently delivering on commitments that affect multiple teams, building trust through reliable execution.</t>
  </si>
  <si>
    <t>You openly share your learning experiences and mistakes, creating an environment where others feel safe to take risks and learn.</t>
  </si>
  <si>
    <t>Actively develops talent across multiple teams through mentoring, coaching, and creating growth opportunities.
Contributes to building technical capabilities across the organization.</t>
  </si>
  <si>
    <t>You recognize and develop talent across multiple teams, helping individuals identify growth opportunities and advance their careers.</t>
  </si>
  <si>
    <t>You create learning opportunities and development programs that benefit multiple teams, contributing to overall technical capability growth.</t>
  </si>
  <si>
    <t>You establish processes and practices that improve team effectiveness and individual development across multiple teams.</t>
  </si>
  <si>
    <t>You provide regular, constructive feedback to engineers across multiple teams, helping them improve their technical and professional skills.</t>
  </si>
  <si>
    <t>Contributes to positive team culture across multiple teams through inclusive leadership and collaborative practices.
Helps build connections and alignment across team boundaries.</t>
  </si>
  <si>
    <t>You consistently model positive behaviors and high standards, influencing culture and performance across multiple teams.</t>
  </si>
  <si>
    <t>You actively seek out and value diverse perspectives in technical discussions, ensuring that multiple teams benefit from varied viewpoints.</t>
  </si>
  <si>
    <t>You build strong working relationships across multiple teams that enhance collaboration, knowledge sharing, and overall effectiveness.</t>
  </si>
  <si>
    <t>The ability to contribute exceptional code quality and drive technical excellence across the organization.
Recognized as a technical authority who influences coding standards, architectural decisions, and technology adoption across multiple teams and domains.</t>
  </si>
  <si>
    <t>You're recognized as the definitive technical authority across the organization, setting coding standards and architectural patterns that are adopted company-wide.
You drive the evaluation and adoption of new technologies and frameworks.</t>
  </si>
  <si>
    <t>You establish documentation standards and practices across the organization, creating comprehensive technical documentation strategies that serve as models for multiple teams.</t>
  </si>
  <si>
    <t>You're considered the organization's expert in multiple programming languages and technologies, making strategic decisions about technology stack evolution and leading major technical migrations.</t>
  </si>
  <si>
    <t>You mentor staff and senior engineers across the entire organization, developing technical leadership capabilities and establishing mentorship programs.</t>
  </si>
  <si>
    <t>The ability to define and implement testing strategies at an organizational level.
Recognized as the authority on testing practices, establishing standards and frameworks that ensure quality across all products and services.</t>
  </si>
  <si>
    <t>You define the organization's overall testing philosophy and strategy, establishing frameworks and standards that are implemented across all teams and products.</t>
  </si>
  <si>
    <t>You're the go-to expert for testing strategy across the entire organization, consulted on major product launches and architectural decisions to ensure comprehensive quality assurance.</t>
  </si>
  <si>
    <t>The ability to understand complex technical systems at an organizational level and drive strategic technical prioritization.
Serves as a bridge between technical teams and business strategy, ensuring technical decisions align with organizational goals.</t>
  </si>
  <si>
    <t>You have deep expertise across the organization's entire technical ecosystem, understanding complex interdependencies and serving as the authority on system architecture and data flows.</t>
  </si>
  <si>
    <t>You facilitate technical collaboration across the entire organization, identifying and addressing knowledge gaps that span multiple departments and business units.</t>
  </si>
  <si>
    <t>You lead the breakdown of complex, cross-organizational initiatives, ensuring proper technical planning and coordination across multiple teams and stakeholders.</t>
  </si>
  <si>
    <t>You drive technical prioritization at the organizational level, ensuring alignment between technical roadmaps and business strategy across all teams.</t>
  </si>
  <si>
    <t>The ability to design and influence architectural decisions at an organizational scale.
Drives architectural vision and standards that support long-term business growth and technical scalability.</t>
  </si>
  <si>
    <t>You lead architectural decisions that impact the entire organization, designing systems and patterns that support long-term business strategy and technical scalability.</t>
  </si>
  <si>
    <t>You collaborate with executive leadership and architecture teams to define the organization's technical vision, often leading proof-of-concept work for major strategic initiatives.</t>
  </si>
  <si>
    <t>You manage technical debt as a strategic organizational asset, making decisions about when to incur debt and when to invest in paying it down across the entire technology portfolio.</t>
  </si>
  <si>
    <t>The ability to lead security initiatives and establish security culture at an organizational level.
Serves as a security champion who influences policy and practices across all teams.</t>
  </si>
  <si>
    <t>You're recognized as the organization's security expert, establishing security standards and practices that are adopted across all teams and products.</t>
  </si>
  <si>
    <t>You define and oversee the organization's approach to user data handling, ensuring compliance and best practices across all systems and teams.</t>
  </si>
  <si>
    <t>You shape the organization's security strategy, working directly with security teams and executive leadership to establish policies and practices that protect the business.</t>
  </si>
  <si>
    <t>The ability to establish monitoring and debugging practices at an organizational level.
Creates observability strategies that provide insights across all systems and enable proactive issue resolution.</t>
  </si>
  <si>
    <t>You can diagnose and resolve the most complex issues across the entire organizational infrastructure, often involving multiple systems and teams.</t>
  </si>
  <si>
    <t>You establish the organization's monitoring and observability philosophy, defining standards and practices that are implemented across all teams.</t>
  </si>
  <si>
    <t>You design and implement monitoring strategies that provide organizational-level insights, enabling data-driven decisions about system performance and reliability.</t>
  </si>
  <si>
    <t>You're the organization's expert in performance optimization, capable of solving complex performance challenges across any technology stack or system layer.</t>
  </si>
  <si>
    <t>You develop the organization's debugging and monitoring capabilities by mentoring engineers and managers across all teams.</t>
  </si>
  <si>
    <t>Demonstrates exceptional emotional intelligence and serves as a role model for inclusive leadership across the organization.
Actively works to improve organizational culture and represents diverse perspectives in high-level decisions.</t>
  </si>
  <si>
    <t>You consistently use your organizational influence to ensure fair recognition and protect teams from unproductive blame, serving as a culture champion.</t>
  </si>
  <si>
    <t>You're sought out by leadership across the organization to help understand and improve relationships with various stakeholder groups, both internal and external.</t>
  </si>
  <si>
    <t>You're called upon to facilitate complex, high-stakes discussions involving senior leadership and multiple departments, bringing calm and finding solutions to organizational conflicts.</t>
  </si>
  <si>
    <t>You maintain formal mentoring relationships with senior staff across the organization and contribute to the development of the company's mentoring culture.</t>
  </si>
  <si>
    <t>Exceptional communication skills that influence organizational direction and culture.
Serves as a spokesperson for technical initiatives and helps shape how the organization communicates both internally and externally.</t>
  </si>
  <si>
    <t>You communicate complex technical and strategic initiatives to diverse audiences across the organization, including executive leadership, ensuring clear understanding and buy-in.</t>
  </si>
  <si>
    <t>You proactively seek feedback from key stakeholders across the organization and industry, using this input to influence organizational strategy and direction.</t>
  </si>
  <si>
    <t>You handle the most sensitive communications across the organization, managing expectations and maintaining stakeholder relationships during challenging situations.</t>
  </si>
  <si>
    <t>You develop communication standards and practices across the organization, coaching leaders and establishing processes that improve organizational communication effectiveness.</t>
  </si>
  <si>
    <t>Demonstrates exceptional drive and creates opportunities that benefit the entire organization.
Consistently identifies and leads initiatives that drive significant business value and organizational improvement.</t>
  </si>
  <si>
    <t>You consistently identify and create transformative opportunities for the organization, leading initiatives that result in significant business impact and recognition.</t>
  </si>
  <si>
    <t>You build strategic partnerships and seek expertise both within and outside the organization, consistently bringing in knowledge and capabilities that benefit multiple teams.</t>
  </si>
  <si>
    <t>You lead the most complex and strategic organizational initiatives to successful completion, adapting and acquiring new skills as needed to ensure success.</t>
  </si>
  <si>
    <t>Demonstrates exceptional judgment and adaptability in complex organizational contexts.
Makes strategic decisions that balance competing priorities and drives organizational improvement through process innovation.</t>
  </si>
  <si>
    <t>You lead decision-making processes on the most critical organizational initiatives, establishing frameworks and processes that improve decision quality across the company.</t>
  </si>
  <si>
    <t>You establish organizational processes for continuous improvement, championing learning and development initiatives that benefit the entire organization.</t>
  </si>
  <si>
    <t>You provide strategic counsel to organizational leadership, helping distinguish between critical issues and less important concerns, always focusing on business impact and pragmatic solutions.</t>
  </si>
  <si>
    <t>You optimize organizational processes and resource allocation, consistently identifying opportunities to improve efficiency and focus on the highest-impact initiatives.</t>
  </si>
  <si>
    <t>Deep understanding of business strategy and the ability to translate between technical and business domains.
Influences organizational strategy and ensures technical decisions support business objectives.</t>
  </si>
  <si>
    <t>You have comprehensive understanding of the organization's business strategy and competitive landscape, with deep knowledge of how technical decisions impact business outcomes across all domains.</t>
  </si>
  <si>
    <t>You design and implement organizational structures that optimize for business outcomes, creating new roles and teams that address strategic organizational needs.</t>
  </si>
  <si>
    <t>You significantly contribute to the organization's reputation as an employer, representing the company at major industry events and contributing to recruitment strategy.</t>
  </si>
  <si>
    <t>You lead hiring strategy for critical roles across the organization, serving as a hiring manager for senior positions and establishing hiring standards and processes.</t>
  </si>
  <si>
    <t>Manages complex stakeholder relationships at the highest organizational levels.
Serves as a trusted advisor to executive leadership and external partners, protecting teams while delivering exceptional results.</t>
  </si>
  <si>
    <t>You manage relationships with the most critical stakeholders, including executive leadership and key external partners, successfully delivering results across multiple quarters and complex initiatives.</t>
  </si>
  <si>
    <t>Your strategic foresight influences organizational planning across multiple departments, helping leadership anticipate challenges and opportunities.</t>
  </si>
  <si>
    <t>You're a trusted advisor to executive leadership and key external stakeholders, often serving as the primary technical contact for the organization's most important relationships.</t>
  </si>
  <si>
    <t>You shield multiple teams from organizational pressures and distractions, identifying and resolving systemic issues that could impact team effectiveness.</t>
  </si>
  <si>
    <t>Leads and influences multiple teams across the organization.
Demonstrates exceptional leadership skills that inspire others and drive organizational culture and effectiveness.</t>
  </si>
  <si>
    <t>You consistently prioritize the needs of multiple teams across the organization, taking on complex organizational challenges to enable team success.</t>
  </si>
  <si>
    <t>You handle the most challenging organizational conversations, including those involving senior leadership, compensation, performance, and strategic direction.</t>
  </si>
  <si>
    <t>You're known for exceptional reliability in executing organizational commitments, consistently delivering on promises that impact multiple teams and business outcomes.</t>
  </si>
  <si>
    <t>You model vulnerability and continuous learning across the organization, creating a culture where others feel safe to admit mistakes and seek help.</t>
  </si>
  <si>
    <t>Drives the development of talent across the organization.
Creates programs and processes that enhance the capabilities of multiple teams and contribute to organizational learning and growth.</t>
  </si>
  <si>
    <t>You identify and develop talent across the organization, creating opportunities for high-potential individuals and establishing development programs.</t>
  </si>
  <si>
    <t>You create and implement development programs that benefit multiple teams, establishing career paths and growth opportunities across the organization.</t>
  </si>
  <si>
    <t>You design and implement organizational processes that enhance team effectiveness and individual development across multiple departments.</t>
  </si>
  <si>
    <t>You establish feedback cultures and processes across the organization, coaching leaders on providing effective feedback and creating systems for continuous improvement.</t>
  </si>
  <si>
    <t>Shapes and influences organizational culture at the highest level.
Creates an inclusive environment that brings out the best in people and aligns the organization around shared values and goals.</t>
  </si>
  <si>
    <t>You consistently model the organization's values and set the standard for behavior and performance across all levels of the organization.</t>
  </si>
  <si>
    <t>You actively create and protect spaces for diverse perspectives across the organization, ensuring that decision-making processes benefit from varied viewpoints.</t>
  </si>
  <si>
    <t>You build meaningful relationships across the organization that enhance collaboration, trust, and organizational effectiveness at all levels.</t>
  </si>
  <si>
    <t>The ability to contribute high quality code to production environments.
Is an exceptional engineer beyond the organization, contributing to pushing the craft forwards.</t>
  </si>
  <si>
    <t>You've pushed the boundaries of the organization's coding practices, extending languages and libraries where needed.</t>
  </si>
  <si>
    <t>You've led efforts to improve documentation and code skills across the organization. You've actively pushed other engineers to improve how code is understood and read.</t>
  </si>
  <si>
    <t>You're contributing to the languages that your company uses, developing new patterns and paradigms to solve real business needs.</t>
  </si>
  <si>
    <t>You're regularly mentoring mentors, raising the quality of every team member's code</t>
  </si>
  <si>
    <t>The ability to understand and implement great testing practices.
A leader within the organization in terms of test strategy.</t>
  </si>
  <si>
    <t>You're defining how your company thinks through testing. You're personally responsibly for the metrics around test coverage across the organization</t>
  </si>
  <si>
    <t>You may be contributing to an open source library or speaking at conferences on behalf of your company around great testing strategy and tactics</t>
  </si>
  <si>
    <t>The ability to develop technical understanding and use this to prioritise tasks appropriately.
Is a technical and prioritisation leader across the organization's architecture consistently pushing boundaries and exploring gaps in understanding.</t>
  </si>
  <si>
    <t>You have expertise in the organization's architecture, including all domains, their bounded contexts, and how they interact with each other.</t>
  </si>
  <si>
    <t>You have a deep technical understanding. You lead on helping team members fill gaps in their understanding.</t>
  </si>
  <si>
    <t>You critically review work across the organization, ensuring it is appropriately broken down.</t>
  </si>
  <si>
    <t>You identify cross-organization dependencies and work with individual teams to resolve them.
You lead on creating preventative measures to mitigate repeat occurrences.
You foster a culture of priority setting across the organization driving the importance of alignment with organizational strategy</t>
  </si>
  <si>
    <t>The ability to interact and engage with architectural approaches of the organization.
Regularly works across teams to build a culture for iterative, autonomous development and future scaling.</t>
  </si>
  <si>
    <t>You help several teams make design decisions that minimize the cost of future changes.</t>
  </si>
  <si>
    <t>You work with the architecture team to define cross- team architectural approaches.
You sometimes employ prototyping for exploration of designs.</t>
  </si>
  <si>
    <t>You understand technical debt as a long-term budgeting and risk management tool.
You lead on when to incur more and when to pay it down.</t>
  </si>
  <si>
    <t>The ability to understand and apply security principles, handle user data appropriately and report security concerns.
Is a leader in security strategy.</t>
  </si>
  <si>
    <t>You have impeccable understanding of security principles, and impart this knowledge on your own team, the organization, and wider tech community.</t>
  </si>
  <si>
    <t>You lead the conversation around security within the organization.
You are seen as an expert in the security field.</t>
  </si>
  <si>
    <t>The ability to understand and implement systematic debugging and monitoring practices to diagnose issues.
Leads incident response, and fosters and promotes a culture of observability and monitoring across the organization.</t>
  </si>
  <si>
    <t>Uses systematic debugging to diagnose issues across the organization.</t>
  </si>
  <si>
    <t>You lead the organization's monitoring philosophy.</t>
  </si>
  <si>
    <t>You teams across the organization use operational data to improve stability and performance of their domains.</t>
  </si>
  <si>
    <t>You are a mentor for senior managers across the organization.</t>
  </si>
  <si>
    <t>The ability to share someone else's feelings or experiences by imagining what it would be like to be in that person's situation.
Often found advocating for and representing others in conversations they cannot be in.
Helps leaders to understand their teams, users and clients.</t>
  </si>
  <si>
    <t>You use your position of power to redirect credit fairly, and absorb blame that isn't constructive to your team.</t>
  </si>
  <si>
    <t>You're called for when any team wants to understand a group of people better.
You can point to ways in which you've actively looked to dramatically improve the empathy of your organisation.</t>
  </si>
  <si>
    <t>You're called on to facilitate groups of people, often outside your peers, due to your calm and thoughtful demeanour.
You make even combative people feel calm through finding common ground.</t>
  </si>
  <si>
    <t>You have several formal mentoring relationships with senior staff both within and outside your immediate team.</t>
  </si>
  <si>
    <t>The ability to communicate well with those around you with sensitivity to timeliness, medium, brevity and tone.
Communicates with the wider business, including change affecting the work of others, helps teams around them to communicate better.</t>
  </si>
  <si>
    <t>You design the process of communication to communicate with the business around strategically important projects using appropriate mediums.</t>
  </si>
  <si>
    <t>You communicate changes in plans, organisational structure or work situation which directly affects one or more people, and manage any fall out from that change ensuring all parties stay informed and content.</t>
  </si>
  <si>
    <t>You communicate bad news to a group of reports or peers, ensuring that a strategy is in place to manage expectations and morale during the change.
Your approach involves thoughtfully designed communication to the top levels of the organisation</t>
  </si>
  <si>
    <t>You regularly mentor others on communication technique, unpick poor communication in your wider organisation and add process where needed.
You're comfortable feeding back on the communication of your seniors.</t>
  </si>
  <si>
    <t>The ability to use your judgment to make decisions and do things without needing to be told what to do.
Asks a lot, expects the impossible. Drives others to create their best work.
Sees opportunities in everything.</t>
  </si>
  <si>
    <t>You take ill-defined requirements and lead a large group within your organisation to make progress on them.</t>
  </si>
  <si>
    <t>You build relationships with people across your organisation without being asked, expressly for the purpose of boosting your ability to achieve great results.</t>
  </si>
  <si>
    <t>You're deeply involved in projects which require your ability to move through uncertainty.
You adapt your skillset appropriately for those projects, morphing into what the projects need you to be.</t>
  </si>
  <si>
    <t>The ability to deal with problems based on conditions that really exist, rather than following fixed theories, ideas, or rules, and to adapt to suit different conditions.
Leads others in looking for ways to better serve business or customer needs, even outside their own discipline.
Willing to lead mundane but important tasks and help whole teams to move on their goals through simplifying and breaking down problems.</t>
  </si>
  <si>
    <t>You're part of decision-making teams on several major company-wide initiatives, employing appropriate processes and techniques.</t>
  </si>
  <si>
    <t>You build processes for yourself and others around you, diagnosing development areas and figuring out better ways of working and collaborating.
You champion self improvement in your organisation.</t>
  </si>
  <si>
    <t>You know which hills to die on.
You recognise the importance of believability and pragmatism as a tool for moving product and business forwards, and when to stand your ground.</t>
  </si>
  <si>
    <t>You are constantly checking your own plans and the plans of your team for opportunities to change or reduce effort.
You exclusively pick up the most important, not the most interesting tasks.</t>
  </si>
  <si>
    <t>Has a thourough understanding of their team's domain, strategy, and how it maps to overall market trends.
Has a thorough understanding of adjacent teams' strategies and how they map to their team and interaction points.</t>
  </si>
  <si>
    <t>The ability to ensure that teams are protected and expectations are set correctly.
An expert at understanding everyone's motivations and drives, and adapting communication and priorities to fit them.
Protects others, including when it results in hard conversations.
Maintains good relationships with all key stakeholders even when challenging.</t>
  </si>
  <si>
    <t>You lead entire client or stakeholder relationships over the course of multiple quarters across successful and unsuccessful projects whilst maintaining good outcomes.</t>
  </si>
  <si>
    <t>Your foresight has been proven over multiple projects involving multiple teams.
You act as the stakeholder or client in order to tease out extra requirements, due to your deep understanding of their incentives.</t>
  </si>
  <si>
    <t>You're a key contact for stakeholders or external clients, funnelling work and information to them as you see fit.
They ask for you to be involved in processes and meetings due to your respect for their time and needs.</t>
  </si>
  <si>
    <t>You protect embattled teams from being thrown off course, identifying difficult clients and stakeholder roadblocks, resolving issues.</t>
  </si>
  <si>
    <t>The ability to maintain quality, efficiency and establish trust in your ability.
Capable of managing a larger team effectively.
Protects the team, ensuring they're always clear on the goal, but also works to create space for them to make decisions and grow.
Zero ego: open and honest with intentions, goals, failings and expectations.
Dependable to a fault, leading to deep trust amongst direct reports.</t>
  </si>
  <si>
    <t>You're visibly selfless and devoted as a manager.
You have repeatedly put the team first in decisions which affect your workload.
You've given opportunities for your team to shine in situations you could have taken yourself.</t>
  </si>
  <si>
    <t>You have, over a significant period of time, managed team-level conversations effectively, as proven by your ability to maintain a largely happy and committed team throughout your tenure.</t>
  </si>
  <si>
    <t>You have been honest and open about intentions and goals with regards to at least one major team level decisions affecting multiple direct reports.
You've listened to feedback and adjusted plans where possible.
You have delivered as promised.</t>
  </si>
  <si>
    <t>You make a point of asking for feedback on your actions from your team.
You consciously make time for self-reflection and evaluation, which you open up for others to view.
You recognise the value of being human to your team.</t>
  </si>
  <si>
    <t>The ability to develop the skillsets and abilities of your team.
Has a structured process and methodology for assessing, refining and supporting the strengths and goals of their team.
Spends meaningful time investing in laying groundwork for personal growth, including milestones, goals and structured opportunities. Their team are growing at above average speed.</t>
  </si>
  <si>
    <t>You find threads of passion or strength across a large team, and help team members to grow those strengths.</t>
  </si>
  <si>
    <t>You set growth targets for your team, and are clear on what is expected and how they'll be rewarded upon completion.
You follow through on that promise.
You establish budgets and space for active learning.</t>
  </si>
  <si>
    <t>You invest in rigorous and standardised skills assessment and goal-setting for your team, introducing clarity and purpose, resulting in your team growing in a more focused direction.</t>
  </si>
  <si>
    <t>Your feedback on multiple teams' work is strictly useful and actionable.
You're able to articulate in a fair and efficient way not only what your opinion is, but why you have that opinion.
In disagreement you're comfortable with having your opinion changed and invite other opinions from those around you.</t>
  </si>
  <si>
    <t>The ability to bring groups together and foster a happy and productive environment.
Has built themselves into an important cultural guardian through both signalling and empowering others.
Goes out of their way to promote good behaviour and safeness for all.
Is sharing the team's culture and wellbeing outwardly</t>
  </si>
  <si>
    <t>You actively call out peers and seniors who you feel don't signal correctly to your team and yourself.
You work to educate those in positions of power to be conscious of the example they're setting.</t>
  </si>
  <si>
    <t>You're a core part of, or leading, a central initiative towards a fairer and safer workplace for all, including touching hiring strategy and coaching for key staff.
You're a vocal champion for under-represented groups.
You create safe spaces for debate.</t>
  </si>
  <si>
    <t>You're close enough to both your reports and your peers to be able to spot and debug issues with culture early and often.
You can predict how people will work together and interact because you know their viewpoints on the world.
You're coaching other leaders in their 1:1 and interpersonal techniques.</t>
  </si>
  <si>
    <t>SKILLS</t>
  </si>
  <si>
    <t>April 2022</t>
  </si>
  <si>
    <t>CONFIRMED</t>
  </si>
  <si>
    <t>July 2022</t>
  </si>
  <si>
    <t>SENIOR</t>
  </si>
  <si>
    <t>LEGEND</t>
  </si>
  <si>
    <r>
      <rPr>
        <rFont val="Arial"/>
        <b/>
        <color theme="1"/>
      </rPr>
      <t>Junior</t>
    </r>
    <r>
      <rPr>
        <rFont val="Arial"/>
        <color theme="1"/>
      </rPr>
      <t xml:space="preserve"> Software Engineer (associate)</t>
    </r>
  </si>
  <si>
    <r>
      <rPr>
        <rFont val="Arial"/>
        <b/>
        <color theme="1"/>
      </rPr>
      <t>Confirmed</t>
    </r>
    <r>
      <rPr>
        <rFont val="Arial"/>
        <color theme="1"/>
      </rPr>
      <t xml:space="preserve"> Software Engineer</t>
    </r>
  </si>
  <si>
    <r>
      <rPr>
        <rFont val="Arial"/>
        <b/>
        <color theme="1"/>
      </rPr>
      <t>Senior</t>
    </r>
    <r>
      <rPr>
        <rFont val="Arial"/>
        <color theme="1"/>
      </rPr>
      <t xml:space="preserve"> Software Engineer</t>
    </r>
  </si>
  <si>
    <r>
      <rPr>
        <rFont val="Arial"/>
        <b/>
        <color theme="1"/>
      </rPr>
      <t>Lead</t>
    </r>
    <r>
      <rPr>
        <rFont val="Arial"/>
        <color theme="1"/>
      </rPr>
      <t xml:space="preserve"> Software Engineer</t>
    </r>
  </si>
  <si>
    <r>
      <rPr>
        <rFont val="Arial"/>
        <b/>
        <color theme="1"/>
      </rPr>
      <t>Principal</t>
    </r>
    <r>
      <rPr>
        <rFont val="Arial"/>
        <color theme="1"/>
      </rPr>
      <t xml:space="preserve"> Software Engineer</t>
    </r>
  </si>
  <si>
    <t>Success</t>
  </si>
  <si>
    <t>Ideas for improvements</t>
  </si>
  <si>
    <t>LIVE CURSOR</t>
  </si>
  <si>
    <t>🆙 3 / 2</t>
  </si>
  <si>
    <t>This is great! Focus elsewhere.</t>
  </si>
  <si>
    <t>🖐</t>
  </si>
  <si>
    <t>Tells current position on this skills.</t>
  </si>
  <si>
    <t xml:space="preserve">The ability to share someone else's feelings or experiences by imagining what it would be like to be in that person's situation </t>
  </si>
  <si>
    <t xml:space="preserve"> Constantly pushes for a better understanding of the needs and perspectives of those outside their own viewpoint.</t>
  </si>
  <si>
    <t xml:space="preserve"> A great person to have in any room. Trusted by peers and their team. Can take any problem team and help them drive in the same direction.</t>
  </si>
  <si>
    <t xml:space="preserve"> Often found advocating for and representing others in conversations they cannot be in. Helps leaders to understand their teams, users and clients.
</t>
  </si>
  <si>
    <t>- item 1
- item 2</t>
  </si>
  <si>
    <t>- Q1 : TBD 
- Q2 : TBD</t>
  </si>
  <si>
    <r>
      <rPr>
        <rFont val="Arial"/>
        <i/>
        <color theme="1"/>
      </rPr>
      <t xml:space="preserve">• </t>
    </r>
    <r>
      <rPr>
        <rFont val="Arial"/>
        <b/>
        <i val="0"/>
        <color theme="1"/>
      </rPr>
      <t>Credit and blame:</t>
    </r>
    <r>
      <rPr>
        <rFont val="Arial"/>
        <i/>
        <color theme="1"/>
      </rPr>
      <t xml:space="preserve"> You actively look to ensure praise is shared fairly when given to you. If someone else is blamed for your mistake, you own up.
• </t>
    </r>
    <r>
      <rPr>
        <rFont val="Arial"/>
        <b/>
        <i val="0"/>
        <color theme="1"/>
      </rPr>
      <t xml:space="preserve">Understanding others: </t>
    </r>
    <r>
      <rPr>
        <rFont val="Arial"/>
        <i/>
        <color theme="1"/>
      </rPr>
      <t xml:space="preserve">You regularly and actively ask others for their opinions with the goal of better understanding where they're coming from.
• </t>
    </r>
    <r>
      <rPr>
        <rFont val="Arial"/>
        <b/>
        <i val="0"/>
        <color theme="1"/>
      </rPr>
      <t xml:space="preserve">Mediation and facilitation: </t>
    </r>
    <r>
      <rPr>
        <rFont val="Arial"/>
        <i/>
        <color theme="1"/>
      </rPr>
      <t xml:space="preserve">You have de-escalated disagreements amongst your peers, looking for common ground.
• </t>
    </r>
    <r>
      <rPr>
        <rFont val="Arial"/>
        <b/>
        <i val="0"/>
        <color theme="1"/>
      </rPr>
      <t xml:space="preserve">Mentoring: </t>
    </r>
    <r>
      <rPr>
        <rFont val="Arial"/>
        <i/>
        <color theme="1"/>
      </rPr>
      <t xml:space="preserve">You've proactively developed at least one informal mentoring relationship through your ability to understand a peer or subordinate.
</t>
    </r>
  </si>
  <si>
    <r>
      <rPr>
        <rFont val="Arial"/>
        <i/>
        <color theme="1"/>
      </rPr>
      <t xml:space="preserve">• </t>
    </r>
    <r>
      <rPr>
        <rFont val="Arial"/>
        <b/>
        <i val="0"/>
        <color theme="1"/>
      </rPr>
      <t>Credit and blame:</t>
    </r>
    <r>
      <rPr>
        <rFont val="Arial"/>
        <i/>
        <color theme="1"/>
      </rPr>
      <t xml:space="preserve"> You actively look to ensure praise is shared fairly when given to you. If someone else is blamed for your mistake, you own up.
• </t>
    </r>
    <r>
      <rPr>
        <rFont val="Arial"/>
        <b/>
        <i val="0"/>
        <color theme="1"/>
      </rPr>
      <t xml:space="preserve">Understanding others: </t>
    </r>
    <r>
      <rPr>
        <rFont val="Arial"/>
        <i/>
        <color theme="1"/>
      </rPr>
      <t xml:space="preserve">You regularly and actively ask others for their opinions with the goal of better understanding where they're coming from.
• </t>
    </r>
    <r>
      <rPr>
        <rFont val="Arial"/>
        <b/>
        <i val="0"/>
        <color theme="1"/>
      </rPr>
      <t xml:space="preserve">Mediation and facilitation: </t>
    </r>
    <r>
      <rPr>
        <rFont val="Arial"/>
        <i/>
        <color theme="1"/>
      </rPr>
      <t xml:space="preserve">You have de-escalated disagreements amongst your peers, looking for common ground.
• </t>
    </r>
    <r>
      <rPr>
        <rFont val="Arial"/>
        <b/>
        <i val="0"/>
        <color theme="1"/>
      </rPr>
      <t xml:space="preserve">Mentoring: </t>
    </r>
    <r>
      <rPr>
        <rFont val="Arial"/>
        <i/>
        <color theme="1"/>
      </rPr>
      <t xml:space="preserve">You've proactively developed at least one informal mentoring relationship through your ability to understand a peer or subordinate.
</t>
    </r>
  </si>
  <si>
    <r>
      <rPr>
        <rFont val="Arial"/>
        <i/>
        <color theme="1"/>
      </rPr>
      <t xml:space="preserve">• </t>
    </r>
    <r>
      <rPr>
        <rFont val="Arial"/>
        <b/>
        <i val="0"/>
        <color theme="1"/>
      </rPr>
      <t xml:space="preserve">Credit and blame: </t>
    </r>
    <r>
      <rPr>
        <rFont val="Arial"/>
        <i/>
        <color theme="1"/>
      </rPr>
      <t xml:space="preserve">You're an ally to your peers and wider team, protecting them from undue blame and pushing praise onto them. You regularly look for opportunities to give praise publicly.
• </t>
    </r>
    <r>
      <rPr>
        <rFont val="Arial"/>
        <b/>
        <i val="0"/>
        <color theme="1"/>
      </rPr>
      <t xml:space="preserve">Understanding others: </t>
    </r>
    <r>
      <rPr>
        <rFont val="Arial"/>
        <i/>
        <color theme="1"/>
      </rPr>
      <t xml:space="preserve">You are able to recognise bias in others and help them to see their peers, customers or stakeholders through fresh eyes.
• </t>
    </r>
    <r>
      <rPr>
        <rFont val="Arial"/>
        <b/>
        <i val="0"/>
        <color theme="1"/>
      </rPr>
      <t xml:space="preserve">Mediation and facilitation: </t>
    </r>
    <r>
      <rPr>
        <rFont val="Arial"/>
        <i/>
        <color theme="1"/>
      </rPr>
      <t xml:space="preserve">You help teams within your organisation get closer to each other and understand each other's viewpoints.
• </t>
    </r>
    <r>
      <rPr>
        <rFont val="Arial"/>
        <b/>
        <i val="0"/>
        <color theme="1"/>
      </rPr>
      <t>Mentoring:</t>
    </r>
    <r>
      <rPr>
        <rFont val="Arial"/>
        <i/>
        <color theme="1"/>
      </rPr>
      <t xml:space="preserve"> You've proactively developed multiple informal or formal mentoring relationship through your ability to understand a peer or subordinate.</t>
    </r>
  </si>
  <si>
    <r>
      <rPr>
        <rFont val="Arial"/>
        <i/>
        <color theme="1"/>
      </rPr>
      <t xml:space="preserve">• </t>
    </r>
    <r>
      <rPr>
        <rFont val="Arial"/>
        <b/>
        <i val="0"/>
        <color theme="1"/>
      </rPr>
      <t xml:space="preserve">Credit and blame: </t>
    </r>
    <r>
      <rPr>
        <rFont val="Arial"/>
        <i/>
        <color theme="1"/>
      </rPr>
      <t xml:space="preserve">You use your position of power to redirect credit fairly, and absorb blame that isn't constructive to your team.
• </t>
    </r>
    <r>
      <rPr>
        <rFont val="Arial"/>
        <b/>
        <i val="0"/>
        <color theme="1"/>
      </rPr>
      <t xml:space="preserve">Understanding others: </t>
    </r>
    <r>
      <rPr>
        <rFont val="Arial"/>
        <i/>
        <color theme="1"/>
      </rPr>
      <t xml:space="preserve">You're called for when any team wants to understand a group of people better. You can point to ways in which you've actively looked to dramatically improve the empathy of your organisation.
• </t>
    </r>
    <r>
      <rPr>
        <rFont val="Arial"/>
        <b/>
        <i val="0"/>
        <color theme="1"/>
      </rPr>
      <t xml:space="preserve">Mediation and facilitation: </t>
    </r>
    <r>
      <rPr>
        <rFont val="Arial"/>
        <i/>
        <color theme="1"/>
      </rPr>
      <t xml:space="preserve">You're called on to facilitate groups of people, often outside your peers, due to your calm and thoughtful demeanour. You make even combative people feel calm through finding common ground.
• </t>
    </r>
    <r>
      <rPr>
        <rFont val="Arial"/>
        <b/>
        <i val="0"/>
        <color theme="1"/>
      </rPr>
      <t xml:space="preserve">Mentoring: </t>
    </r>
    <r>
      <rPr>
        <rFont val="Arial"/>
        <i/>
        <color theme="1"/>
      </rPr>
      <t xml:space="preserve">You have several formal mentoring relationships with senior staff both within and outside your immediate team.
</t>
    </r>
  </si>
  <si>
    <r>
      <rPr>
        <rFont val="Arial"/>
        <i/>
        <color theme="1"/>
      </rPr>
      <t xml:space="preserve">• </t>
    </r>
    <r>
      <rPr>
        <rFont val="Arial"/>
        <b/>
        <i val="0"/>
        <color theme="1"/>
      </rPr>
      <t xml:space="preserve">Credit and blame: </t>
    </r>
    <r>
      <rPr>
        <rFont val="Arial"/>
        <i/>
        <color theme="1"/>
      </rPr>
      <t xml:space="preserve">You use your position of power to redirect credit fairly, and absorb blame that isn't constructive to your team.
• </t>
    </r>
    <r>
      <rPr>
        <rFont val="Arial"/>
        <b/>
        <i val="0"/>
        <color theme="1"/>
      </rPr>
      <t xml:space="preserve">Understanding others: </t>
    </r>
    <r>
      <rPr>
        <rFont val="Arial"/>
        <i/>
        <color theme="1"/>
      </rPr>
      <t xml:space="preserve">You're called for when any team wants to understand a group of people better. You can point to ways in which you've actively looked to dramatically improve the empathy of your organisation.
• </t>
    </r>
    <r>
      <rPr>
        <rFont val="Arial"/>
        <b/>
        <i val="0"/>
        <color theme="1"/>
      </rPr>
      <t xml:space="preserve">Mediation and facilitation: </t>
    </r>
    <r>
      <rPr>
        <rFont val="Arial"/>
        <i/>
        <color theme="1"/>
      </rPr>
      <t xml:space="preserve">You're called on to facilitate groups of people, often outside your peers, due to your calm and thoughtful demeanour. You make even combative people feel calm through finding common ground.
• </t>
    </r>
    <r>
      <rPr>
        <rFont val="Arial"/>
        <b/>
        <i val="0"/>
        <color theme="1"/>
      </rPr>
      <t xml:space="preserve">Mentoring: </t>
    </r>
    <r>
      <rPr>
        <rFont val="Arial"/>
        <i/>
        <color theme="1"/>
      </rPr>
      <t xml:space="preserve">You have several formal mentoring relationships with senior staff both within and outside your immediate team.
</t>
    </r>
  </si>
  <si>
    <t>⚠️ 1 / 2</t>
  </si>
  <si>
    <t>Need to work on this to evolve</t>
  </si>
  <si>
    <t>The ability to communicate well with those around you with sensitivity to timeliness, medium, brevity and tone</t>
  </si>
  <si>
    <t>Communicates with wider team, feeds back on communication of others.</t>
  </si>
  <si>
    <t>Communicates with organisation, helps others in team to communicate</t>
  </si>
  <si>
    <t>Communicates with the wider business, including change affecting the work of others, helps teams around them to communicate better.</t>
  </si>
  <si>
    <r>
      <rPr>
        <rFont val="Arial"/>
        <i/>
        <color theme="1"/>
      </rPr>
      <t xml:space="preserve">• </t>
    </r>
    <r>
      <rPr>
        <rFont val="Arial"/>
        <b/>
        <i val="0"/>
        <color theme="1"/>
      </rPr>
      <t xml:space="preserve">Keeping people informed: </t>
    </r>
    <r>
      <rPr>
        <rFont val="Arial"/>
        <i/>
        <color theme="1"/>
      </rPr>
      <t xml:space="preserve">You communicate work updates from your peers across your wider team, and respond to feedback in a timely manner.
• </t>
    </r>
    <r>
      <rPr>
        <rFont val="Arial"/>
        <b/>
        <i val="0"/>
        <color theme="1"/>
      </rPr>
      <t>Looking for feedback:</t>
    </r>
    <r>
      <rPr>
        <rFont val="Arial"/>
        <i/>
        <color theme="1"/>
      </rPr>
      <t xml:space="preserve"> You consistently ask for critique on your thinking from a wider group, and inform the group which elements you're incorporating into your work.
• </t>
    </r>
    <r>
      <rPr>
        <rFont val="Arial"/>
        <b/>
        <i val="0"/>
        <color theme="1"/>
      </rPr>
      <t>Delivering bad news:</t>
    </r>
    <r>
      <rPr>
        <rFont val="Arial"/>
        <i/>
        <color theme="1"/>
      </rPr>
      <t xml:space="preserve"> You recognise when you need help from outside your immediate peers and asked for it effectively.
• </t>
    </r>
    <r>
      <rPr>
        <rFont val="Arial"/>
        <b/>
        <i val="0"/>
        <color theme="1"/>
      </rPr>
      <t>Mentoring communicators:</t>
    </r>
    <r>
      <rPr>
        <rFont val="Arial"/>
        <i/>
        <color theme="1"/>
      </rPr>
      <t xml:space="preserve"> You are able to unpick the communication of others around you and offer advice and feedback.
</t>
    </r>
  </si>
  <si>
    <r>
      <rPr>
        <rFont val="Arial"/>
        <i/>
        <color theme="1"/>
      </rPr>
      <t xml:space="preserve">• </t>
    </r>
    <r>
      <rPr>
        <rFont val="Arial"/>
        <b/>
        <i val="0"/>
        <color theme="1"/>
      </rPr>
      <t xml:space="preserve">Keeping people informed: </t>
    </r>
    <r>
      <rPr>
        <rFont val="Arial"/>
        <i/>
        <color theme="1"/>
      </rPr>
      <t xml:space="preserve">You communicate work updates from your peers across your wider team, and respond to feedback in a timely manner.
• </t>
    </r>
    <r>
      <rPr>
        <rFont val="Arial"/>
        <b/>
        <i val="0"/>
        <color theme="1"/>
      </rPr>
      <t>Looking for feedback:</t>
    </r>
    <r>
      <rPr>
        <rFont val="Arial"/>
        <i/>
        <color theme="1"/>
      </rPr>
      <t xml:space="preserve"> You consistently ask for critique on your thinking from a wider group, and inform the group which elements you're incorporating into your work.
• </t>
    </r>
    <r>
      <rPr>
        <rFont val="Arial"/>
        <b/>
        <i val="0"/>
        <color theme="1"/>
      </rPr>
      <t>Delivering bad news:</t>
    </r>
    <r>
      <rPr>
        <rFont val="Arial"/>
        <i/>
        <color theme="1"/>
      </rPr>
      <t xml:space="preserve"> You recognise when you need help from outside your immediate peers and asked for it effectively.
• </t>
    </r>
    <r>
      <rPr>
        <rFont val="Arial"/>
        <b/>
        <i val="0"/>
        <color theme="1"/>
      </rPr>
      <t>Mentoring communicators:</t>
    </r>
    <r>
      <rPr>
        <rFont val="Arial"/>
        <i/>
        <color theme="1"/>
      </rPr>
      <t xml:space="preserve"> You are able to unpick the communication of others around you and offer advice and feedback.
</t>
    </r>
  </si>
  <si>
    <r>
      <rPr>
        <rFont val="Arial"/>
        <i/>
        <color theme="1"/>
      </rPr>
      <t xml:space="preserve">• </t>
    </r>
    <r>
      <rPr>
        <rFont val="Arial"/>
        <b/>
        <i val="0"/>
        <color theme="1"/>
      </rPr>
      <t>Keeping people informed:</t>
    </r>
    <r>
      <rPr>
        <rFont val="Arial"/>
        <i/>
        <color theme="1"/>
      </rPr>
      <t xml:space="preserve"> You communicate on behalf of your team to the broader organisation on important or divisive projects, handling any questions in a timely manner.
• </t>
    </r>
    <r>
      <rPr>
        <rFont val="Arial"/>
        <b/>
        <i val="0"/>
        <color theme="1"/>
      </rPr>
      <t>Looking for feedback:</t>
    </r>
    <r>
      <rPr>
        <rFont val="Arial"/>
        <i/>
        <color theme="1"/>
      </rPr>
      <t xml:space="preserve"> You proactively ask for feedback from important stakeholders in your organisation early in your work.
• </t>
    </r>
    <r>
      <rPr>
        <rFont val="Arial"/>
        <b/>
        <i val="0"/>
        <color theme="1"/>
      </rPr>
      <t xml:space="preserve">Delivering bad news: </t>
    </r>
    <r>
      <rPr>
        <rFont val="Arial"/>
        <i/>
        <color theme="1"/>
      </rPr>
      <t xml:space="preserve">You communicate changes of plan or slip in timelines to a broad group within your organisation and manage expectations effectively until resolution.
• </t>
    </r>
    <r>
      <rPr>
        <rFont val="Arial"/>
        <b/>
        <i val="0"/>
        <color theme="1"/>
      </rPr>
      <t>Mentoring communicators:</t>
    </r>
    <r>
      <rPr>
        <rFont val="Arial"/>
        <i/>
        <color theme="1"/>
      </rPr>
      <t xml:space="preserve"> You set up processes around more effective communication for your immediate team, and manage its implementation. You proactively offer good feedback to peers on their communication methods.</t>
    </r>
  </si>
  <si>
    <r>
      <rPr>
        <rFont val="Arial"/>
        <i/>
        <color theme="1"/>
      </rPr>
      <t xml:space="preserve">• </t>
    </r>
    <r>
      <rPr>
        <rFont val="Arial"/>
        <b/>
        <i val="0"/>
        <color theme="1"/>
      </rPr>
      <t>Keeping people informed:</t>
    </r>
    <r>
      <rPr>
        <rFont val="Arial"/>
        <i/>
        <color theme="1"/>
      </rPr>
      <t xml:space="preserve"> You communicate on behalf of your team to the broader organisation on important or divisive projects, handling any questions in a timely manner.
• </t>
    </r>
    <r>
      <rPr>
        <rFont val="Arial"/>
        <b/>
        <i val="0"/>
        <color theme="1"/>
      </rPr>
      <t>Looking for feedback:</t>
    </r>
    <r>
      <rPr>
        <rFont val="Arial"/>
        <i/>
        <color theme="1"/>
      </rPr>
      <t xml:space="preserve"> You proactively ask for feedback from important stakeholders in your organisation early in your work.
• </t>
    </r>
    <r>
      <rPr>
        <rFont val="Arial"/>
        <b/>
        <i val="0"/>
        <color theme="1"/>
      </rPr>
      <t xml:space="preserve">Delivering bad news: </t>
    </r>
    <r>
      <rPr>
        <rFont val="Arial"/>
        <i/>
        <color theme="1"/>
      </rPr>
      <t xml:space="preserve">You communicate changes of plan or slip in timelines to a broad group within your organisation and manage expectations effectively until resolution.
• </t>
    </r>
    <r>
      <rPr>
        <rFont val="Arial"/>
        <b/>
        <i val="0"/>
        <color theme="1"/>
      </rPr>
      <t>Mentoring communicators:</t>
    </r>
    <r>
      <rPr>
        <rFont val="Arial"/>
        <i/>
        <color theme="1"/>
      </rPr>
      <t xml:space="preserve"> You set up processes around more effective communication for your immediate team, and manage its implementation. You proactively offer good feedback to peers on their communication methods.</t>
    </r>
  </si>
  <si>
    <r>
      <rPr>
        <rFont val="Arial"/>
        <i/>
        <color theme="1"/>
      </rPr>
      <t xml:space="preserve">• </t>
    </r>
    <r>
      <rPr>
        <rFont val="Arial"/>
        <b/>
        <i val="0"/>
        <color theme="1"/>
      </rPr>
      <t xml:space="preserve">Keeping people informed: </t>
    </r>
    <r>
      <rPr>
        <rFont val="Arial"/>
        <i/>
        <color theme="1"/>
      </rPr>
      <t xml:space="preserve">You design the process of communication to communicate with the business around strategically important projects using appropriate mediums.
• </t>
    </r>
    <r>
      <rPr>
        <rFont val="Arial"/>
        <b/>
        <i val="0"/>
        <color theme="1"/>
      </rPr>
      <t>Looking for feedback</t>
    </r>
    <r>
      <rPr>
        <rFont val="Arial"/>
        <i/>
        <color theme="1"/>
      </rPr>
      <t xml:space="preserve">: You communicate changes in plans, organisational structure or work situation which directly affects one or more people, and manage any fall out from that change ensuring all parties stay informed and content.
• </t>
    </r>
    <r>
      <rPr>
        <rFont val="Arial"/>
        <b/>
        <i val="0"/>
        <color theme="1"/>
      </rPr>
      <t>Delivering bad news:</t>
    </r>
    <r>
      <rPr>
        <rFont val="Arial"/>
        <i/>
        <color theme="1"/>
      </rPr>
      <t xml:space="preserve"> You communicate bad news to a group of reports or peers, ensuring that a strategy is in place to manage expectations and morale during the change. Your approach involves thoughtfully designed communication to the top levels of the organisation
• </t>
    </r>
    <r>
      <rPr>
        <rFont val="Arial"/>
        <b/>
        <i val="0"/>
        <color theme="1"/>
      </rPr>
      <t>Mentoring communicators:</t>
    </r>
    <r>
      <rPr>
        <rFont val="Arial"/>
        <i/>
        <color theme="1"/>
      </rPr>
      <t xml:space="preserve"> You regularly mentor others on communication technique, unpick poor communication in your wider organisation and add process where needed. You're comfortable feeding back on the communication of your seniors.</t>
    </r>
  </si>
  <si>
    <t>This is great! KEEP UP!</t>
  </si>
  <si>
    <t>HISTORY</t>
  </si>
  <si>
    <t>The ability to use your judgment to make decisions and do things without needing to be told what to do</t>
  </si>
  <si>
    <t>Doesn't wait to be asked. Open minded about their own skillset.</t>
  </si>
  <si>
    <t>Relentlessly positive in pursuing new ways to solve a problem.</t>
  </si>
  <si>
    <t>Refuses to believe that anything is unachievable. Infectious desire to activate and progress. Drives others to create their best work. Like a rocket: just light the fuse.</t>
  </si>
  <si>
    <t>Asks a lot, expects the impossible. Drives others to create their best work. Sees opportunities in everything.</t>
  </si>
  <si>
    <r>
      <rPr>
        <rFont val="Arial"/>
        <i/>
        <color theme="1"/>
      </rPr>
      <t xml:space="preserve">• </t>
    </r>
    <r>
      <rPr>
        <rFont val="Arial"/>
        <b/>
        <i val="0"/>
        <color theme="1"/>
      </rPr>
      <t xml:space="preserve">Can-do attitude: </t>
    </r>
    <r>
      <rPr>
        <rFont val="Arial"/>
        <i/>
        <color theme="1"/>
      </rPr>
      <t xml:space="preserve">You repeatedly demonstrate a positive attitude when given new projects.
• </t>
    </r>
    <r>
      <rPr>
        <rFont val="Arial"/>
        <b/>
        <i val="0"/>
        <color theme="1"/>
      </rPr>
      <t xml:space="preserve">Pro-activity in seeking help: </t>
    </r>
    <r>
      <rPr>
        <rFont val="Arial"/>
        <i/>
        <color theme="1"/>
      </rPr>
      <t xml:space="preserve">If you're stuck on something, you seek help quickly from the correct party.
• </t>
    </r>
    <r>
      <rPr>
        <rFont val="Arial"/>
        <b/>
        <i val="0"/>
        <color theme="1"/>
      </rPr>
      <t xml:space="preserve">Follow through: </t>
    </r>
    <r>
      <rPr>
        <rFont val="Arial"/>
        <i/>
        <color theme="1"/>
      </rPr>
      <t xml:space="preserve">You've taken on a small piece of work with ill-defined or unknown requirements and helped to push through to a successful outcome.
</t>
    </r>
  </si>
  <si>
    <r>
      <rPr>
        <rFont val="Arial"/>
        <i/>
        <color theme="1"/>
      </rPr>
      <t xml:space="preserve">• </t>
    </r>
    <r>
      <rPr>
        <rFont val="Arial"/>
        <b/>
        <i val="0"/>
        <color theme="1"/>
      </rPr>
      <t xml:space="preserve">Can-do attitude: </t>
    </r>
    <r>
      <rPr>
        <rFont val="Arial"/>
        <i/>
        <color theme="1"/>
      </rPr>
      <t xml:space="preserve">You see opportunity in every piece of work, however outwardly mundane or solved.
• </t>
    </r>
    <r>
      <rPr>
        <rFont val="Arial"/>
        <b/>
        <i val="0"/>
        <color theme="1"/>
      </rPr>
      <t xml:space="preserve">Pro-activity in seeking help: </t>
    </r>
    <r>
      <rPr>
        <rFont val="Arial"/>
        <i/>
        <color theme="1"/>
      </rPr>
      <t xml:space="preserve">When your team is stuck on something, you are quick to suggest that you all adjust focus, reframe a problem or talk to someone new.
• </t>
    </r>
    <r>
      <rPr>
        <rFont val="Arial"/>
        <b/>
        <i val="0"/>
        <color theme="1"/>
      </rPr>
      <t xml:space="preserve">Follow through: </t>
    </r>
    <r>
      <rPr>
        <rFont val="Arial"/>
        <i/>
        <color theme="1"/>
      </rPr>
      <t xml:space="preserve">You lead medium to large projects with unknown requirements and helped drive to a successful outcome.
</t>
    </r>
  </si>
  <si>
    <r>
      <rPr>
        <rFont val="Arial"/>
        <i/>
        <color theme="1"/>
      </rPr>
      <t xml:space="preserve">• </t>
    </r>
    <r>
      <rPr>
        <rFont val="Arial"/>
        <b/>
        <i val="0"/>
        <color theme="1"/>
      </rPr>
      <t xml:space="preserve">Can-do attitude: </t>
    </r>
    <r>
      <rPr>
        <rFont val="Arial"/>
        <i/>
        <color theme="1"/>
      </rPr>
      <t xml:space="preserve">You're constantly creating new opportunities for yourself and those around you. Your team is celebrated for innovation as a result of your contributions.
• </t>
    </r>
    <r>
      <rPr>
        <rFont val="Arial"/>
        <b/>
        <i val="0"/>
        <color theme="1"/>
      </rPr>
      <t xml:space="preserve">Pro-activity in seeking help: </t>
    </r>
    <r>
      <rPr>
        <rFont val="Arial"/>
        <i/>
        <color theme="1"/>
      </rPr>
      <t xml:space="preserve">You recognise a lack of expertise in yourself and your organisation, and pro-actively found that expertise in areas not given to you. This leads to a successful outcome on more than one occasion.
• </t>
    </r>
    <r>
      <rPr>
        <rFont val="Arial"/>
        <b/>
        <i val="0"/>
        <color theme="1"/>
      </rPr>
      <t xml:space="preserve">Follow through: </t>
    </r>
    <r>
      <rPr>
        <rFont val="Arial"/>
        <i/>
        <color theme="1"/>
      </rPr>
      <t>You adapt your skillset and knowledge to lead large or complex projects to a successful outcome.</t>
    </r>
  </si>
  <si>
    <r>
      <rPr>
        <rFont val="Arial"/>
        <i/>
        <color theme="1"/>
      </rPr>
      <t xml:space="preserve">• </t>
    </r>
    <r>
      <rPr>
        <rFont val="Arial"/>
        <b/>
        <i val="0"/>
        <color theme="1"/>
      </rPr>
      <t xml:space="preserve">Can-do attitude: </t>
    </r>
    <r>
      <rPr>
        <rFont val="Arial"/>
        <i/>
        <color theme="1"/>
      </rPr>
      <t xml:space="preserve">You're constantly creating new opportunities for yourself and those around you. Your team is celebrated for innovation as a result of your contributions.
• </t>
    </r>
    <r>
      <rPr>
        <rFont val="Arial"/>
        <b/>
        <i val="0"/>
        <color theme="1"/>
      </rPr>
      <t xml:space="preserve">Pro-activity in seeking help: </t>
    </r>
    <r>
      <rPr>
        <rFont val="Arial"/>
        <i/>
        <color theme="1"/>
      </rPr>
      <t xml:space="preserve">You recognise a lack of expertise in yourself and your organisation, and pro-actively found that expertise in areas not given to you. This leads to a successful outcome on more than one occasion.
• </t>
    </r>
    <r>
      <rPr>
        <rFont val="Arial"/>
        <b/>
        <i val="0"/>
        <color theme="1"/>
      </rPr>
      <t xml:space="preserve">Follow through: </t>
    </r>
    <r>
      <rPr>
        <rFont val="Arial"/>
        <i/>
        <color theme="1"/>
      </rPr>
      <t>You adapt your skillset and knowledge to lead large or complex projects to a successful outcome.</t>
    </r>
  </si>
  <si>
    <r>
      <rPr>
        <rFont val="Arial"/>
        <i/>
        <color theme="1"/>
      </rPr>
      <t xml:space="preserve">• </t>
    </r>
    <r>
      <rPr>
        <rFont val="Arial"/>
        <b/>
        <i val="0"/>
        <color theme="1"/>
      </rPr>
      <t xml:space="preserve">Can-do attitude: </t>
    </r>
    <r>
      <rPr>
        <rFont val="Arial"/>
        <i/>
        <color theme="1"/>
      </rPr>
      <t xml:space="preserve">YYou take ill-defined requirements and lead a large group within your organisation to make progress on them.
• </t>
    </r>
    <r>
      <rPr>
        <rFont val="Arial"/>
        <b/>
        <i val="0"/>
        <color theme="1"/>
      </rPr>
      <t xml:space="preserve">Pro-activity in seeking help: </t>
    </r>
    <r>
      <rPr>
        <rFont val="Arial"/>
        <i/>
        <color theme="1"/>
      </rPr>
      <t xml:space="preserve">You build relationships with people across your organisation without being asked, expressly for the purpose of boosting your ability to achieve great results.
• </t>
    </r>
    <r>
      <rPr>
        <rFont val="Arial"/>
        <b/>
        <i val="0"/>
        <color theme="1"/>
      </rPr>
      <t xml:space="preserve">Follow through: </t>
    </r>
    <r>
      <rPr>
        <rFont val="Arial"/>
        <i/>
        <color theme="1"/>
      </rPr>
      <t>You're deeply involved in projects which require your ability to move through uncertainty. You adapt your skillset appropriately for those projects, morphing into what the projects need you to be.</t>
    </r>
  </si>
  <si>
    <t>✅ 2 / 2</t>
  </si>
  <si>
    <t>🆙 2 / 1</t>
  </si>
  <si>
    <t>Above expectations.</t>
  </si>
  <si>
    <t>The ability to deal with problems based on conditions that really exist, rather than following fixed theories, ideas, or rules, and to adapt to suit different conditions</t>
  </si>
  <si>
    <t>Able to be objective in evaluating their own work and comfortable and accepting of new contexts and roles.</t>
  </si>
  <si>
    <t>Is able to change their mind over strongly-held beliefs and pursue a new path with no loss of velocity.</t>
  </si>
  <si>
    <t>Can take problems outside their skillset and quickly adapt to solve them. Helps other peers to do the same.</t>
  </si>
  <si>
    <t>Leads others in looking for ways to better serve business or customer needs, even outside their own discipline. Willing to lead mundane but important tasks and help whole teams to move on their goals through simplifying and breaking down problems.</t>
  </si>
  <si>
    <t>←</t>
  </si>
  <si>
    <r>
      <rPr>
        <rFont val="Arial"/>
        <i/>
        <color theme="1"/>
      </rPr>
      <t xml:space="preserve">• </t>
    </r>
    <r>
      <rPr>
        <rFont val="Arial"/>
        <b/>
        <i val="0"/>
        <color theme="1"/>
      </rPr>
      <t xml:space="preserve">Efficient decision-making: </t>
    </r>
    <r>
      <rPr>
        <rFont val="Arial"/>
        <i/>
        <color theme="1"/>
      </rPr>
      <t xml:space="preserve">You regularly make decisions regarding the direction of your own work in a timely manner.
• </t>
    </r>
    <r>
      <rPr>
        <rFont val="Arial"/>
        <b/>
        <i val="0"/>
        <color theme="1"/>
      </rPr>
      <t xml:space="preserve">Self improvement: </t>
    </r>
    <r>
      <rPr>
        <rFont val="Arial"/>
        <i/>
        <color theme="1"/>
      </rPr>
      <t xml:space="preserve">You can name three activities which give you energy, and three which drain you.
• </t>
    </r>
    <r>
      <rPr>
        <rFont val="Arial"/>
        <b/>
        <i val="0"/>
        <color theme="1"/>
      </rPr>
      <t xml:space="preserve">Objectivity: </t>
    </r>
    <r>
      <rPr>
        <rFont val="Arial"/>
        <i/>
        <color theme="1"/>
      </rPr>
      <t xml:space="preserve">You allow your plan to be changed by new information.
</t>
    </r>
    <r>
      <rPr>
        <rFont val="Arial"/>
        <b/>
        <i val="0"/>
        <color theme="1"/>
      </rPr>
      <t>• Time management:</t>
    </r>
    <r>
      <rPr>
        <rFont val="Arial"/>
        <i/>
        <color theme="1"/>
      </rPr>
      <t xml:space="preserve"> You look to reduce or change the scope of your work to meet a timeline or criteria not set by you.
</t>
    </r>
  </si>
  <si>
    <r>
      <rPr>
        <rFont val="Arial"/>
        <i/>
        <color theme="1"/>
      </rPr>
      <t xml:space="preserve">• </t>
    </r>
    <r>
      <rPr>
        <rFont val="Arial"/>
        <b/>
        <i val="0"/>
        <color theme="1"/>
      </rPr>
      <t xml:space="preserve">Efficient decision-making: </t>
    </r>
    <r>
      <rPr>
        <rFont val="Arial"/>
        <i/>
        <color theme="1"/>
      </rPr>
      <t>You help your immediate peers to make decisions based on what projects need, not what they feel most comfortable doing.</t>
    </r>
    <r>
      <rPr>
        <rFont val="Arial"/>
        <b/>
        <i val="0"/>
        <color theme="1"/>
      </rPr>
      <t xml:space="preserve">
</t>
    </r>
    <r>
      <rPr>
        <rFont val="Arial"/>
        <i/>
        <color theme="1"/>
      </rPr>
      <t xml:space="preserve">• </t>
    </r>
    <r>
      <rPr>
        <rFont val="Arial"/>
        <b/>
        <i val="0"/>
        <color theme="1"/>
      </rPr>
      <t xml:space="preserve">Self improvement: </t>
    </r>
    <r>
      <rPr>
        <rFont val="Arial"/>
        <i/>
        <color theme="1"/>
      </rPr>
      <t xml:space="preserve">You use your development areas to build improvement goals for yourself and see improvements over time.
• </t>
    </r>
    <r>
      <rPr>
        <rFont val="Arial"/>
        <b/>
        <i val="0"/>
        <color theme="1"/>
      </rPr>
      <t xml:space="preserve">Objectivity: </t>
    </r>
    <r>
      <rPr>
        <rFont val="Arial"/>
        <i/>
        <color theme="1"/>
      </rPr>
      <t>You look for new information, assuming that you don't know everything. You can point to examples when you had a strong opinion changed for the better.</t>
    </r>
    <r>
      <rPr>
        <rFont val="Arial"/>
        <b/>
        <i val="0"/>
        <color theme="1"/>
      </rPr>
      <t xml:space="preserve">
</t>
    </r>
    <r>
      <rPr>
        <rFont val="Arial"/>
        <i val="0"/>
        <color theme="1"/>
      </rPr>
      <t xml:space="preserve">• </t>
    </r>
    <r>
      <rPr>
        <rFont val="Arial"/>
        <b/>
        <i val="0"/>
        <color theme="1"/>
      </rPr>
      <t xml:space="preserve">Time management: </t>
    </r>
    <r>
      <rPr>
        <rFont val="Arial"/>
        <i/>
        <color theme="1"/>
      </rPr>
      <t xml:space="preserve">You actively flag when you think something can be achieved more quickly, even if it was your plan initially and it will involve admitting fault.
</t>
    </r>
  </si>
  <si>
    <r>
      <rPr>
        <rFont val="Arial"/>
        <i/>
        <color theme="1"/>
      </rPr>
      <t xml:space="preserve">• </t>
    </r>
    <r>
      <rPr>
        <rFont val="Arial"/>
        <b/>
        <i val="0"/>
        <color theme="1"/>
      </rPr>
      <t xml:space="preserve">Efficient decision-making: </t>
    </r>
    <r>
      <rPr>
        <rFont val="Arial"/>
        <i/>
        <color theme="1"/>
      </rPr>
      <t>You help your team to make decisions in a more timely manner, breaking down assumptions about the shape of the work and encouraging people to value done over perfect.</t>
    </r>
    <r>
      <rPr>
        <rFont val="Arial"/>
        <b/>
        <i val="0"/>
        <color theme="1"/>
      </rPr>
      <t xml:space="preserve">
</t>
    </r>
    <r>
      <rPr>
        <rFont val="Arial"/>
        <i/>
        <color theme="1"/>
      </rPr>
      <t xml:space="preserve">• </t>
    </r>
    <r>
      <rPr>
        <rFont val="Arial"/>
        <b/>
        <i val="0"/>
        <color theme="1"/>
      </rPr>
      <t xml:space="preserve">Self improvement: </t>
    </r>
    <r>
      <rPr>
        <rFont val="Arial"/>
        <i/>
        <color theme="1"/>
      </rPr>
      <t xml:space="preserve">You can point to several areas of improvement resulting from your focus on improving development areas over time.
• </t>
    </r>
    <r>
      <rPr>
        <rFont val="Arial"/>
        <b/>
        <i val="0"/>
        <color theme="1"/>
      </rPr>
      <t xml:space="preserve">Objectivity: </t>
    </r>
    <r>
      <rPr>
        <rFont val="Arial"/>
        <i/>
        <color theme="1"/>
      </rPr>
      <t>You are positive in the face of dramatic changes of plans. Curveballs are dealt with sensibly without frustration.</t>
    </r>
    <r>
      <rPr>
        <rFont val="Arial"/>
        <b/>
        <i val="0"/>
        <color theme="1"/>
      </rPr>
      <t xml:space="preserve">
</t>
    </r>
    <r>
      <rPr>
        <rFont val="Arial"/>
        <i val="0"/>
        <color theme="1"/>
      </rPr>
      <t xml:space="preserve">• </t>
    </r>
    <r>
      <rPr>
        <rFont val="Arial"/>
        <b/>
        <i val="0"/>
        <color theme="1"/>
      </rPr>
      <t xml:space="preserve">Time management: </t>
    </r>
    <r>
      <rPr>
        <rFont val="Arial"/>
        <i/>
        <color theme="1"/>
      </rPr>
      <t xml:space="preserve">You're in control of your calendar. You take no issue with not being involved in a project or meeting if it means saving you time.
</t>
    </r>
  </si>
  <si>
    <r>
      <rPr>
        <rFont val="Arial"/>
        <i/>
        <color theme="1"/>
      </rPr>
      <t xml:space="preserve">• </t>
    </r>
    <r>
      <rPr>
        <rFont val="Arial"/>
        <b/>
        <i val="0"/>
        <color theme="1"/>
      </rPr>
      <t xml:space="preserve">Efficient decision-making: </t>
    </r>
    <r>
      <rPr>
        <rFont val="Arial"/>
        <i/>
        <color theme="1"/>
      </rPr>
      <t xml:space="preserve">You're part of decision-making teams on several major company-wide initiatives, employing appropriate processes and techniques. </t>
    </r>
    <r>
      <rPr>
        <rFont val="Arial"/>
        <b/>
        <i val="0"/>
        <color theme="1"/>
      </rPr>
      <t xml:space="preserve">
</t>
    </r>
    <r>
      <rPr>
        <rFont val="Arial"/>
        <i/>
        <color theme="1"/>
      </rPr>
      <t xml:space="preserve">• </t>
    </r>
    <r>
      <rPr>
        <rFont val="Arial"/>
        <b/>
        <i val="0"/>
        <color theme="1"/>
      </rPr>
      <t xml:space="preserve">Self improvement:  </t>
    </r>
    <r>
      <rPr>
        <rFont val="Arial"/>
        <i/>
        <color theme="1"/>
      </rPr>
      <t xml:space="preserve">You build processes for yourself and others around you, diagnosing development areas and figuring out better ways of working and collaborating. You champion self improvement in your organisation.
• </t>
    </r>
    <r>
      <rPr>
        <rFont val="Arial"/>
        <b/>
        <i val="0"/>
        <color theme="1"/>
      </rPr>
      <t xml:space="preserve">Objectivity: </t>
    </r>
    <r>
      <rPr>
        <rFont val="Arial"/>
        <i/>
        <color theme="1"/>
      </rPr>
      <t>You know which hills to die on. You recognise the importance of believability and pragmatism as a tool for moving product and business forwards, and when to stand your ground.</t>
    </r>
    <r>
      <rPr>
        <rFont val="Arial"/>
        <b/>
        <i val="0"/>
        <color theme="1"/>
      </rPr>
      <t xml:space="preserve">
</t>
    </r>
    <r>
      <rPr>
        <rFont val="Arial"/>
        <i val="0"/>
        <color theme="1"/>
      </rPr>
      <t xml:space="preserve">• </t>
    </r>
    <r>
      <rPr>
        <rFont val="Arial"/>
        <b/>
        <i val="0"/>
        <color theme="1"/>
      </rPr>
      <t xml:space="preserve">Time management: </t>
    </r>
    <r>
      <rPr>
        <rFont val="Arial"/>
        <i/>
        <color theme="1"/>
      </rPr>
      <t xml:space="preserve">You are constantly checking your own plans and the plans of your team for opportunities to change or reduce effort. You exclusively pick up the most important, not the most interesting tasks.
</t>
    </r>
  </si>
  <si>
    <t>✅ 1 / 1</t>
  </si>
  <si>
    <t>Meet expectations.</t>
  </si>
  <si>
    <t>Has a thorough understanding of their team's domain, and how it contributes to overall business strategy. Has a basic understanding of adjacent teams' business domains.</t>
  </si>
  <si>
    <t>Has a thourough understanding of their team's domain, strategy, and how it maps to overall market trends. Has a thorough understanding of adjacent teams' strategies and how they map to their team and interaction points.</t>
  </si>
  <si>
    <t xml:space="preserve"> </t>
  </si>
  <si>
    <t>⚠️ 0 / 1</t>
  </si>
  <si>
    <t>Below expectations.</t>
  </si>
  <si>
    <t>✅ 5 / 3</t>
  </si>
  <si>
    <t>The ability to contribute high quality code to production environments</t>
  </si>
  <si>
    <t>Is able to consistently write testable, readable code across larger more complex projects</t>
  </si>
  <si>
    <t>Is able to consistently write production-ready code across large, complex projects</t>
  </si>
  <si>
    <t>Is a go-to within the team and the wider organization across multiple codebases and languages.</t>
  </si>
  <si>
    <t>Is an exceptional engineer beyond the organization, contributing to pushing the craft forwards</t>
  </si>
  <si>
    <r>
      <rPr>
        <rFont val="Arial"/>
        <i/>
        <color theme="1"/>
      </rPr>
      <t xml:space="preserve">• </t>
    </r>
    <r>
      <rPr>
        <rFont val="Arial"/>
        <b/>
        <i val="0"/>
        <color theme="1"/>
      </rPr>
      <t>Quality:</t>
    </r>
    <r>
      <rPr>
        <rFont val="Arial"/>
        <i/>
        <color theme="1"/>
      </rPr>
      <t xml:space="preserve"> Your code has always followed correct convention, requiring only minor improvements. You've made trade-offs knowingly.
• </t>
    </r>
    <r>
      <rPr>
        <rFont val="Arial"/>
        <b/>
        <i val="0"/>
        <color theme="1"/>
      </rPr>
      <t xml:space="preserve">Documentation: </t>
    </r>
    <r>
      <rPr>
        <rFont val="Arial"/>
        <i/>
        <color theme="1"/>
      </rPr>
      <t xml:space="preserve">You've regularly documented your code and looked to improve documentation elsewhere.
• </t>
    </r>
    <r>
      <rPr>
        <rFont val="Arial"/>
        <b/>
        <i val="0"/>
        <color theme="1"/>
      </rPr>
      <t xml:space="preserve">Language: </t>
    </r>
    <r>
      <rPr>
        <rFont val="Arial"/>
        <i/>
        <color theme="1"/>
      </rPr>
      <t xml:space="preserve">You're committing quality code in at least one language and have a working understanding of other languages your team needs
</t>
    </r>
  </si>
  <si>
    <r>
      <rPr>
        <rFont val="Arial"/>
        <i/>
        <color theme="1"/>
      </rPr>
      <t xml:space="preserve">• </t>
    </r>
    <r>
      <rPr>
        <rFont val="Arial"/>
        <b/>
        <i val="0"/>
        <color theme="1"/>
      </rPr>
      <t>Quality:</t>
    </r>
    <r>
      <rPr>
        <rFont val="Arial"/>
        <i/>
        <color theme="1"/>
      </rPr>
      <t xml:space="preserve"> You're regularly trusted to lead complex and business-critical coding projects, including guiding others.
• </t>
    </r>
    <r>
      <rPr>
        <rFont val="Arial"/>
        <b/>
        <i val="0"/>
        <color theme="1"/>
      </rPr>
      <t xml:space="preserve">Documentation: </t>
    </r>
    <r>
      <rPr>
        <rFont val="Arial"/>
        <i/>
        <color theme="1"/>
      </rPr>
      <t xml:space="preserve">Your code is consistently self-documenting where possible. You've regularly maintained, improved and extended existing documentation unprompted.
• </t>
    </r>
    <r>
      <rPr>
        <rFont val="Arial"/>
        <b/>
        <i val="0"/>
        <color theme="1"/>
      </rPr>
      <t xml:space="preserve">Language: </t>
    </r>
    <r>
      <rPr>
        <rFont val="Arial"/>
        <i/>
        <color theme="1"/>
      </rPr>
      <t xml:space="preserve">You're committing quality code in any language your team needs OR you're best in class at one language
• </t>
    </r>
    <r>
      <rPr>
        <rFont val="Arial"/>
        <b/>
        <i val="0"/>
        <color theme="1"/>
      </rPr>
      <t xml:space="preserve">Mentoring: </t>
    </r>
    <r>
      <rPr>
        <rFont val="Arial"/>
        <i/>
        <color theme="1"/>
      </rPr>
      <t xml:space="preserve">You have mentored several junior engineers around code quality
</t>
    </r>
  </si>
  <si>
    <r>
      <rPr>
        <rFont val="Arial"/>
        <i/>
        <color theme="1"/>
      </rPr>
      <t xml:space="preserve">• </t>
    </r>
    <r>
      <rPr>
        <rFont val="Arial"/>
        <b/>
        <i val="0"/>
        <color theme="1"/>
      </rPr>
      <t>Quality:</t>
    </r>
    <r>
      <rPr>
        <rFont val="Arial"/>
        <i/>
        <color theme="1"/>
      </rPr>
      <t xml:space="preserve"> You're regularly trusted to lead complex and business-critical coding projects, including guiding others.
• </t>
    </r>
    <r>
      <rPr>
        <rFont val="Arial"/>
        <b/>
        <i val="0"/>
        <color theme="1"/>
      </rPr>
      <t xml:space="preserve">Documentation: </t>
    </r>
    <r>
      <rPr>
        <rFont val="Arial"/>
        <i/>
        <color theme="1"/>
      </rPr>
      <t xml:space="preserve">Your code is consistently self-documenting where possible. You've regularly maintained, improved and extended existing documentation unprompted.
• </t>
    </r>
    <r>
      <rPr>
        <rFont val="Arial"/>
        <b/>
        <i val="0"/>
        <color theme="1"/>
      </rPr>
      <t xml:space="preserve">Language: </t>
    </r>
    <r>
      <rPr>
        <rFont val="Arial"/>
        <i/>
        <color theme="1"/>
      </rPr>
      <t xml:space="preserve">You're committing quality code in any language your team needs OR you're best in class at one language
• </t>
    </r>
    <r>
      <rPr>
        <rFont val="Arial"/>
        <b/>
        <i val="0"/>
        <color theme="1"/>
      </rPr>
      <t xml:space="preserve">Mentoring: </t>
    </r>
    <r>
      <rPr>
        <rFont val="Arial"/>
        <i/>
        <color theme="1"/>
      </rPr>
      <t xml:space="preserve">You have mentored several junior engineers around code quality
</t>
    </r>
  </si>
  <si>
    <r>
      <rPr>
        <rFont val="Arial"/>
        <i/>
        <color theme="1"/>
      </rPr>
      <t xml:space="preserve">• </t>
    </r>
    <r>
      <rPr>
        <rFont val="Arial"/>
        <b/>
        <i val="0"/>
        <color theme="1"/>
      </rPr>
      <t>Quality:</t>
    </r>
    <r>
      <rPr>
        <rFont val="Arial"/>
        <i/>
        <color theme="1"/>
      </rPr>
      <t xml:space="preserve"> You're known as a hub of code knowledge across multiple teams, proposing and owning the implementation of new languages and technologies where appropriate
• </t>
    </r>
    <r>
      <rPr>
        <rFont val="Arial"/>
        <b/>
        <i val="0"/>
        <color theme="1"/>
      </rPr>
      <t xml:space="preserve">Documentation: </t>
    </r>
    <r>
      <rPr>
        <rFont val="Arial"/>
        <i/>
        <color theme="1"/>
      </rPr>
      <t xml:space="preserve">You've organised documentation for large code projects efficiently, advising others on best practices where needed.
• </t>
    </r>
    <r>
      <rPr>
        <rFont val="Arial"/>
        <b/>
        <i val="0"/>
        <color theme="1"/>
      </rPr>
      <t xml:space="preserve">Language: </t>
    </r>
    <r>
      <rPr>
        <rFont val="Arial"/>
        <i/>
        <color theme="1"/>
      </rPr>
      <t xml:space="preserve">You're best in class at your language of choice, and are committing quality code in other languages the organization needs.
• </t>
    </r>
    <r>
      <rPr>
        <rFont val="Arial"/>
        <b/>
        <i val="0"/>
        <color theme="1"/>
      </rPr>
      <t xml:space="preserve">Mentoring: </t>
    </r>
    <r>
      <rPr>
        <rFont val="Arial"/>
        <i/>
        <color theme="1"/>
      </rPr>
      <t>You've actively mentored multiple senior engineers across the organization around code quality</t>
    </r>
  </si>
  <si>
    <r>
      <rPr>
        <rFont val="Arial"/>
        <i/>
        <color theme="1"/>
      </rPr>
      <t xml:space="preserve">• </t>
    </r>
    <r>
      <rPr>
        <rFont val="Arial"/>
        <b/>
        <i val="0"/>
        <color theme="1"/>
      </rPr>
      <t>Quality:</t>
    </r>
    <r>
      <rPr>
        <rFont val="Arial"/>
        <i/>
        <color theme="1"/>
      </rPr>
      <t xml:space="preserve"> You've pushed the boundaries of the organization's coding practices, extending languages and libraries where needed.
• </t>
    </r>
    <r>
      <rPr>
        <rFont val="Arial"/>
        <b/>
        <i val="0"/>
        <color theme="1"/>
      </rPr>
      <t xml:space="preserve">Documentation: </t>
    </r>
    <r>
      <rPr>
        <rFont val="Arial"/>
        <i/>
        <color theme="1"/>
      </rPr>
      <t xml:space="preserve">You've led efforts to improve documentation and code skills across the organization. You've actively pushed other engineers to improve how code is understood and read.
• </t>
    </r>
    <r>
      <rPr>
        <rFont val="Arial"/>
        <b/>
        <i val="0"/>
        <color theme="1"/>
      </rPr>
      <t xml:space="preserve">Language: </t>
    </r>
    <r>
      <rPr>
        <rFont val="Arial"/>
        <i/>
        <color theme="1"/>
      </rPr>
      <t xml:space="preserve">You're contributing to the languages that your company uses, developing new patterns and paradigms to solve real business needs.
• </t>
    </r>
    <r>
      <rPr>
        <rFont val="Arial"/>
        <b/>
        <i val="0"/>
        <color theme="1"/>
      </rPr>
      <t>Mentoring:</t>
    </r>
    <r>
      <rPr>
        <rFont val="Arial"/>
        <i/>
        <color theme="1"/>
      </rPr>
      <t xml:space="preserve"> You're regularly mentoring mentors, raising the quality of every team member's code</t>
    </r>
  </si>
  <si>
    <t>The ability to understand and implement great testing practices</t>
  </si>
  <si>
    <t>Understands how to test code, and the valuable role that testing plays</t>
  </si>
  <si>
    <t>Understands the importance of a testing strategy, with growing levels of autonomy</t>
  </si>
  <si>
    <t>Independently testing, advising the rest of the team on quality of tests</t>
  </si>
  <si>
    <t>A growing leader within the team around testing strategy</t>
  </si>
  <si>
    <t>A leader within the organization in terms of test strategy</t>
  </si>
  <si>
    <r>
      <rPr>
        <rFont val="Arial"/>
        <i/>
        <color theme="1"/>
      </rPr>
      <t xml:space="preserve">• </t>
    </r>
    <r>
      <rPr>
        <rFont val="Arial"/>
        <b/>
        <i val="0"/>
        <color theme="1"/>
      </rPr>
      <t>Testing your code:</t>
    </r>
    <r>
      <rPr>
        <rFont val="Arial"/>
        <i/>
        <color theme="1"/>
      </rPr>
      <t xml:space="preserve"> You consistently write solid unit tests, sometimes with help from more senior engineers
• </t>
    </r>
    <r>
      <rPr>
        <rFont val="Arial"/>
        <b/>
        <i val="0"/>
        <color theme="1"/>
      </rPr>
      <t xml:space="preserve">Improving coverage: </t>
    </r>
    <r>
      <rPr>
        <rFont val="Arial"/>
        <i/>
        <color theme="1"/>
      </rPr>
      <t xml:space="preserve">You've spotted small areas of low test coverage and patched them
• </t>
    </r>
    <r>
      <rPr>
        <rFont val="Arial"/>
        <b/>
        <i val="0"/>
        <color theme="1"/>
      </rPr>
      <t xml:space="preserve">Taking responsibility </t>
    </r>
    <r>
      <rPr>
        <rFont val="Arial"/>
        <i/>
        <color theme="1"/>
      </rPr>
      <t>You've consistently ensured that your code passes tests before creating or merging pull requests</t>
    </r>
  </si>
  <si>
    <r>
      <rPr>
        <rFont val="Arial"/>
        <i/>
        <color theme="1"/>
      </rPr>
      <t xml:space="preserve">• </t>
    </r>
    <r>
      <rPr>
        <rFont val="Arial"/>
        <b/>
        <i val="0"/>
        <color theme="1"/>
      </rPr>
      <t>Testing your code:</t>
    </r>
    <r>
      <rPr>
        <rFont val="Arial"/>
        <i/>
        <color theme="1"/>
      </rPr>
      <t xml:space="preserve"> You usually write detailed unit and functional tests covering edge cases as well as happy paths
• </t>
    </r>
    <r>
      <rPr>
        <rFont val="Arial"/>
        <b/>
        <i val="0"/>
        <color theme="1"/>
      </rPr>
      <t xml:space="preserve">Improving coverage: </t>
    </r>
    <r>
      <rPr>
        <rFont val="Arial"/>
        <i/>
        <color theme="1"/>
      </rPr>
      <t xml:space="preserve">You've improved test coverage in adjacent areas of code to your own without being asked
• </t>
    </r>
    <r>
      <rPr>
        <rFont val="Arial"/>
        <b/>
        <i val="0"/>
        <color theme="1"/>
      </rPr>
      <t xml:space="preserve">Taking responsibility </t>
    </r>
    <r>
      <rPr>
        <rFont val="Arial"/>
        <i/>
        <color theme="1"/>
      </rPr>
      <t>You've ensured that code committed by your immediate team is well tested and passing</t>
    </r>
  </si>
  <si>
    <r>
      <rPr>
        <rFont val="Arial"/>
        <i/>
        <color theme="1"/>
      </rPr>
      <t xml:space="preserve">• </t>
    </r>
    <r>
      <rPr>
        <rFont val="Arial"/>
        <b/>
        <i val="0"/>
        <color theme="1"/>
      </rPr>
      <t>Testing your code:</t>
    </r>
    <r>
      <rPr>
        <rFont val="Arial"/>
        <i/>
        <color theme="1"/>
      </rPr>
      <t xml:space="preserve"> You always write full tests for your code unassisted, covering all edge cases even with complex functionality.
• </t>
    </r>
    <r>
      <rPr>
        <rFont val="Arial"/>
        <b/>
        <i val="0"/>
        <color theme="1"/>
      </rPr>
      <t xml:space="preserve">Improving coverage: </t>
    </r>
    <r>
      <rPr>
        <rFont val="Arial"/>
        <i/>
        <color theme="1"/>
      </rPr>
      <t xml:space="preserve">You've worked to improve the quality of your own and your team's test coverage
• </t>
    </r>
    <r>
      <rPr>
        <rFont val="Arial"/>
        <b/>
        <i val="0"/>
        <color theme="1"/>
      </rPr>
      <t xml:space="preserve">Taking responsibility </t>
    </r>
    <r>
      <rPr>
        <rFont val="Arial"/>
        <i/>
        <color theme="1"/>
      </rPr>
      <t>You consistently look for and can recall quality metrics to demonstrate your test coverage, and monitor in behalf of your team.</t>
    </r>
  </si>
  <si>
    <r>
      <rPr>
        <rFont val="Arial"/>
        <i/>
        <color theme="1"/>
      </rPr>
      <t xml:space="preserve">• </t>
    </r>
    <r>
      <rPr>
        <rFont val="Arial"/>
        <b/>
        <i val="0"/>
        <color theme="1"/>
      </rPr>
      <t xml:space="preserve">Leading testing strategy: </t>
    </r>
    <r>
      <rPr>
        <rFont val="Arial"/>
        <i/>
        <color theme="1"/>
      </rPr>
      <t xml:space="preserve">You've defined how your team writes and thinks through test coverage, including tooling and metrics. You've worked with other teams to ensure your strategy covers any crossover
• </t>
    </r>
    <r>
      <rPr>
        <rFont val="Arial"/>
        <b/>
        <i val="0"/>
        <color theme="1"/>
      </rPr>
      <t xml:space="preserve">Advocating for testing: </t>
    </r>
    <r>
      <rPr>
        <rFont val="Arial"/>
        <i/>
        <color theme="1"/>
      </rPr>
      <t>You're an internal go-to expert when teams are thinking through testing strategy for new products and problems</t>
    </r>
  </si>
  <si>
    <r>
      <rPr>
        <rFont val="Arial"/>
        <i/>
        <color theme="1"/>
      </rPr>
      <t xml:space="preserve">• </t>
    </r>
    <r>
      <rPr>
        <rFont val="Arial"/>
        <b/>
        <i val="0"/>
        <color theme="1"/>
      </rPr>
      <t xml:space="preserve">Leading testing strategy: </t>
    </r>
    <r>
      <rPr>
        <rFont val="Arial"/>
        <i/>
        <color theme="1"/>
      </rPr>
      <t xml:space="preserve">You're defining how your company thinks through testing. You're personally responsibly for the metrics around test coverage across the organization
• </t>
    </r>
    <r>
      <rPr>
        <rFont val="Arial"/>
        <b/>
        <i val="0"/>
        <color theme="1"/>
      </rPr>
      <t xml:space="preserve">Advocating for testing: </t>
    </r>
    <r>
      <rPr>
        <rFont val="Arial"/>
        <i/>
        <color theme="1"/>
      </rPr>
      <t>You may be contributing to an open source library or speaking at conferences on behalf of your company around great testing strategy and tactics</t>
    </r>
  </si>
  <si>
    <t>The ability to develop technical understanding and use this to prioritise tasks appropriately.</t>
  </si>
  <si>
    <t>Shows some confidence in technical understanding including the importance of prioritisation</t>
  </si>
  <si>
    <t>Is able to display a clear technical confidence and understanding, prioritises tasks and acts accordingly</t>
  </si>
  <si>
    <t>Is a technical and prioritisation leader within the team, including taking some ownership of other team members' technical growth and development.</t>
  </si>
  <si>
    <t>Is a technical and prioritisation leader across a set of related team's domains, consistently pushing boundaries and exploring gaps in understanding.</t>
  </si>
  <si>
    <t>Is a technical and prioritisation leader across the organization's architecture consistently pushing boundaries and exploring gaps in understanding.</t>
  </si>
  <si>
    <r>
      <rPr>
        <rFont val="Arial"/>
        <i/>
        <color theme="1"/>
      </rPr>
      <t xml:space="preserve">• </t>
    </r>
    <r>
      <rPr>
        <rFont val="Arial"/>
        <b/>
        <i val="0"/>
        <color theme="1"/>
      </rPr>
      <t>Understanding code:</t>
    </r>
    <r>
      <rPr>
        <rFont val="Arial"/>
        <i/>
        <color theme="1"/>
      </rPr>
      <t xml:space="preserve"> You are able to gain context within the team's domain with occasional help from more senior engineers. You are comfortable with the basics of code interface design and are learning to be more intentional
• </t>
    </r>
    <r>
      <rPr>
        <rFont val="Arial"/>
        <b/>
        <i val="0"/>
        <color theme="1"/>
      </rPr>
      <t xml:space="preserve">Technical collaboration: </t>
    </r>
    <r>
      <rPr>
        <rFont val="Arial"/>
        <i/>
        <color theme="1"/>
      </rPr>
      <t xml:space="preserve">You communicate accurately about all technical subjects in your work.
• </t>
    </r>
    <r>
      <rPr>
        <rFont val="Arial"/>
        <b/>
        <i val="0"/>
        <color theme="1"/>
      </rPr>
      <t xml:space="preserve">Work breakdown: </t>
    </r>
    <r>
      <rPr>
        <rFont val="Arial"/>
        <i/>
        <color theme="1"/>
      </rPr>
      <t xml:space="preserve">You understand the importance of rightsizing tasks for incremental delivery plus continuous integration.
• </t>
    </r>
    <r>
      <rPr>
        <rFont val="Arial"/>
        <b/>
        <i val="0"/>
        <color theme="1"/>
      </rPr>
      <t xml:space="preserve">Task prioritisation: </t>
    </r>
    <r>
      <rPr>
        <rFont val="Arial"/>
        <i/>
        <color theme="1"/>
      </rPr>
      <t xml:space="preserve">You can plan work tasks with help from team members and manager. You deliver based on the agreed priority of works tasks.
</t>
    </r>
  </si>
  <si>
    <r>
      <rPr>
        <rFont val="Arial"/>
        <i/>
        <color theme="1"/>
      </rPr>
      <t xml:space="preserve">• </t>
    </r>
    <r>
      <rPr>
        <rFont val="Arial"/>
        <b/>
        <i val="0"/>
        <color theme="1"/>
      </rPr>
      <t>Understanding code:</t>
    </r>
    <r>
      <rPr>
        <rFont val="Arial"/>
        <i/>
        <color theme="1"/>
      </rPr>
      <t xml:space="preserve"> You understand a good amount of the team's domain, and can gain sufficient context to work productively within that.
• </t>
    </r>
    <r>
      <rPr>
        <rFont val="Arial"/>
        <b/>
        <i val="0"/>
        <color theme="1"/>
      </rPr>
      <t xml:space="preserve">Technical collaboration: </t>
    </r>
    <r>
      <rPr>
        <rFont val="Arial"/>
        <i/>
        <color theme="1"/>
      </rPr>
      <t xml:space="preserve">You can lead technical explanations when appropriate. You know when to listen and give space to team members.
• </t>
    </r>
    <r>
      <rPr>
        <rFont val="Arial"/>
        <b/>
        <i val="0"/>
        <color theme="1"/>
      </rPr>
      <t>Work breakdown:</t>
    </r>
    <r>
      <rPr>
        <rFont val="Arial"/>
        <i/>
        <color theme="1"/>
      </rPr>
      <t xml:space="preserve"> In advance of starting, you ensure that tasks are appropriately sized for incremental delivery and continuous integration, with some help from team members and your manager
• </t>
    </r>
    <r>
      <rPr>
        <rFont val="Arial"/>
        <b/>
        <i val="0"/>
        <color theme="1"/>
      </rPr>
      <t xml:space="preserve">Task prioritisation: </t>
    </r>
    <r>
      <rPr>
        <rFont val="Arial"/>
        <i/>
        <color theme="1"/>
      </rPr>
      <t xml:space="preserve">You act according to task prioritisation whilst noting task dependencies
</t>
    </r>
  </si>
  <si>
    <r>
      <rPr>
        <rFont val="Arial"/>
        <i/>
        <color theme="1"/>
      </rPr>
      <t xml:space="preserve">• </t>
    </r>
    <r>
      <rPr>
        <rFont val="Arial"/>
        <b/>
        <i val="0"/>
        <color theme="1"/>
      </rPr>
      <t>Understanding code:</t>
    </r>
    <r>
      <rPr>
        <rFont val="Arial"/>
        <i/>
        <color theme="1"/>
      </rPr>
      <t xml:space="preserve"> You understand your team's domain at a high level, including the breadth of services, how they interact, and data flows between systems. You understand adjacent domains as they affect your team
• </t>
    </r>
    <r>
      <rPr>
        <rFont val="Arial"/>
        <b/>
        <i val="0"/>
        <color theme="1"/>
      </rPr>
      <t xml:space="preserve">Technical collaboration: </t>
    </r>
    <r>
      <rPr>
        <rFont val="Arial"/>
        <i/>
        <color theme="1"/>
      </rPr>
      <t xml:space="preserve">You actively facilitate technical discussions between team members and have a deep familiarity with technical topics under discussion
• </t>
    </r>
    <r>
      <rPr>
        <rFont val="Arial"/>
        <b/>
        <i val="0"/>
        <color theme="1"/>
      </rPr>
      <t xml:space="preserve">Work breakdown: </t>
    </r>
    <r>
      <rPr>
        <rFont val="Arial"/>
        <i/>
        <color theme="1"/>
      </rPr>
      <t xml:space="preserve">You review projects critically, ensuring they are appropriately delineated and understood by the team
• </t>
    </r>
    <r>
      <rPr>
        <rFont val="Arial"/>
        <b/>
        <i val="0"/>
        <color theme="1"/>
      </rPr>
      <t xml:space="preserve">Task prioritisation: </t>
    </r>
    <r>
      <rPr>
        <rFont val="Arial"/>
        <i/>
        <color theme="1"/>
      </rPr>
      <t xml:space="preserve">You ensure tasks are prioritised correctly, and that dependencies are noted and well understood by the team, including at the epic level. You foster a culture of priority setting and highlight the importance of alignment with organizational strategy
</t>
    </r>
  </si>
  <si>
    <r>
      <rPr>
        <rFont val="Arial"/>
        <i/>
        <color theme="1"/>
      </rPr>
      <t xml:space="preserve">• </t>
    </r>
    <r>
      <rPr>
        <rFont val="Arial"/>
        <b/>
        <i val="0"/>
        <color theme="1"/>
      </rPr>
      <t>Understanding code:</t>
    </r>
    <r>
      <rPr>
        <rFont val="Arial"/>
        <i/>
        <color theme="1"/>
      </rPr>
      <t xml:space="preserve"> You have expertise in a set of related team's domains, including the breadth of services, how they interact, and data flows between systems.
• </t>
    </r>
    <r>
      <rPr>
        <rFont val="Arial"/>
        <b/>
        <i val="0"/>
        <color theme="1"/>
      </rPr>
      <t xml:space="preserve">Technical collaboration: </t>
    </r>
    <r>
      <rPr>
        <rFont val="Arial"/>
        <i/>
        <color theme="1"/>
      </rPr>
      <t xml:space="preserve">You proactively seek out gaps in your technical understanding, and work with a variety of team members to fill those gaps.
• </t>
    </r>
    <r>
      <rPr>
        <rFont val="Arial"/>
        <b/>
        <i val="0"/>
        <color theme="1"/>
      </rPr>
      <t xml:space="preserve">Work breakdown: </t>
    </r>
    <r>
      <rPr>
        <rFont val="Arial"/>
        <i/>
        <color theme="1"/>
      </rPr>
      <t xml:space="preserve">You critically review work across multiple teams, ensuring it is appropriately broken down, and well understood
• </t>
    </r>
    <r>
      <rPr>
        <rFont val="Arial"/>
        <b/>
        <i val="0"/>
        <color theme="1"/>
      </rPr>
      <t xml:space="preserve">Task prioritisation: </t>
    </r>
    <r>
      <rPr>
        <rFont val="Arial"/>
        <i/>
        <color theme="1"/>
      </rPr>
      <t xml:space="preserve">You ensures cross-team dependencies are understood by all relevant stakeholders. You foster a culture of priority setting across teams and highlight the importance of alignment with organizational strategy
</t>
    </r>
  </si>
  <si>
    <r>
      <rPr>
        <rFont val="Arial"/>
        <i/>
        <color theme="1"/>
      </rPr>
      <t xml:space="preserve">• </t>
    </r>
    <r>
      <rPr>
        <rFont val="Arial"/>
        <b/>
        <i val="0"/>
        <color theme="1"/>
      </rPr>
      <t>Understanding code:</t>
    </r>
    <r>
      <rPr>
        <rFont val="Arial"/>
        <i/>
        <color theme="1"/>
      </rPr>
      <t xml:space="preserve"> You have expertise in the organization's architecture, including all domains, their bounded contexts, and how they interact with each other.
• </t>
    </r>
    <r>
      <rPr>
        <rFont val="Arial"/>
        <b/>
        <i val="0"/>
        <color theme="1"/>
      </rPr>
      <t xml:space="preserve">Technical collaboration: </t>
    </r>
    <r>
      <rPr>
        <rFont val="Arial"/>
        <i/>
        <color theme="1"/>
      </rPr>
      <t xml:space="preserve">You have a deep technical understanding. You lead on helping team members fill gaps in their understanding.
• </t>
    </r>
    <r>
      <rPr>
        <rFont val="Arial"/>
        <b/>
        <i val="0"/>
        <color theme="1"/>
      </rPr>
      <t xml:space="preserve">Work breakdown: </t>
    </r>
    <r>
      <rPr>
        <rFont val="Arial"/>
        <i/>
        <color theme="1"/>
      </rPr>
      <t xml:space="preserve">You critically review work across the organization, ensuring it is appropriately broken down.
• </t>
    </r>
    <r>
      <rPr>
        <rFont val="Arial"/>
        <b/>
        <i val="0"/>
        <color theme="1"/>
      </rPr>
      <t xml:space="preserve">Task prioritisation: </t>
    </r>
    <r>
      <rPr>
        <rFont val="Arial"/>
        <i/>
        <color theme="1"/>
      </rPr>
      <t xml:space="preserve">You identify cross-organization dependencies and work with individual teams to resolve them. You lead on creating preventative measures to mitigate repeat occurrences. You foster a culture of priority setting across the organization driving the importance of alignment with organizational strategy
</t>
    </r>
  </si>
  <si>
    <t xml:space="preserve">The ability to interact and engage with architectural approaches of the organization.
</t>
  </si>
  <si>
    <t>Is able to design basic functions, avoiding duplication across codebases and interface-breaking changes based on an understanding of the overall service architecture</t>
  </si>
  <si>
    <t>Has a good understanding of, and designs functions that are aligned with, the overall service architecture</t>
  </si>
  <si>
    <t>Is able to consistently design code that is aligned with the overall service architecture.</t>
  </si>
  <si>
    <t>Regularly works across teams to build a culture for iterative, autonomous development and future scaling.</t>
  </si>
  <si>
    <r>
      <rPr>
        <rFont val="Arial"/>
        <i/>
        <color theme="1"/>
      </rPr>
      <t xml:space="preserve">• </t>
    </r>
    <r>
      <rPr>
        <rFont val="Arial"/>
        <b/>
        <i val="0"/>
        <color theme="1"/>
      </rPr>
      <t>Reaction to feedback:</t>
    </r>
    <r>
      <rPr>
        <rFont val="Arial"/>
        <i/>
        <color theme="1"/>
      </rPr>
      <t xml:space="preserve"> You understand the feedback given and applies it consistently to your work.
• </t>
    </r>
    <r>
      <rPr>
        <rFont val="Arial"/>
        <b/>
        <i val="0"/>
        <color theme="1"/>
      </rPr>
      <t xml:space="preserve">Design: </t>
    </r>
    <r>
      <rPr>
        <rFont val="Arial"/>
        <i/>
        <color theme="1"/>
      </rPr>
      <t xml:space="preserve">You are comfortable with the basics of code interface design, and are learning to be more intentional.
• </t>
    </r>
    <r>
      <rPr>
        <rFont val="Arial"/>
        <b/>
        <i val="0"/>
        <color theme="1"/>
      </rPr>
      <t xml:space="preserve">Technical debt: </t>
    </r>
    <r>
      <rPr>
        <rFont val="Arial"/>
        <i/>
        <color theme="1"/>
      </rPr>
      <t xml:space="preserve">You can usually recognize technical debt and can pay it down when advised.
</t>
    </r>
  </si>
  <si>
    <r>
      <rPr>
        <rFont val="Arial"/>
        <i/>
        <color theme="1"/>
      </rPr>
      <t xml:space="preserve">• </t>
    </r>
    <r>
      <rPr>
        <rFont val="Arial"/>
        <b/>
        <i val="0"/>
        <color theme="1"/>
      </rPr>
      <t>Design:</t>
    </r>
    <r>
      <rPr>
        <rFont val="Arial"/>
        <i/>
        <color theme="1"/>
      </rPr>
      <t xml:space="preserve"> You show a good intuition for code interface design.
• </t>
    </r>
    <r>
      <rPr>
        <rFont val="Arial"/>
        <b/>
        <i val="0"/>
        <color theme="1"/>
      </rPr>
      <t xml:space="preserve">Development: </t>
    </r>
    <r>
      <rPr>
        <rFont val="Arial"/>
        <i/>
        <color theme="1"/>
      </rPr>
      <t xml:space="preserve">You consistently look for opportunities to learn from other projects and teams.
• </t>
    </r>
    <r>
      <rPr>
        <rFont val="Arial"/>
        <b/>
        <i val="0"/>
        <color theme="1"/>
      </rPr>
      <t xml:space="preserve">Technical debt: </t>
    </r>
    <r>
      <rPr>
        <rFont val="Arial"/>
        <i/>
        <color theme="1"/>
      </rPr>
      <t xml:space="preserve">You consistently recognize technical debt and look for opportunities to negotiate and pay it down incrementally
</t>
    </r>
  </si>
  <si>
    <r>
      <rPr>
        <rFont val="Arial"/>
        <i/>
        <color theme="1"/>
      </rPr>
      <t xml:space="preserve">• </t>
    </r>
    <r>
      <rPr>
        <rFont val="Arial"/>
        <b/>
        <i val="0"/>
        <color theme="1"/>
      </rPr>
      <t>Code:</t>
    </r>
    <r>
      <rPr>
        <rFont val="Arial"/>
        <i/>
        <color theme="1"/>
      </rPr>
      <t xml:space="preserve"> You are able to utilize abstractions and code isolation effectively.
• </t>
    </r>
    <r>
      <rPr>
        <rFont val="Arial"/>
        <b/>
        <i val="0"/>
        <color theme="1"/>
      </rPr>
      <t xml:space="preserve">Design: </t>
    </r>
    <r>
      <rPr>
        <rFont val="Arial"/>
        <i/>
        <color theme="1"/>
      </rPr>
      <t xml:space="preserve">You have deep architectural and design pattern experience. You consult with team members only on more difficult designs. You set up new projects to ensure architectural success by anticipating future use cases and making design decisions that minimize the cost of future changes
• </t>
    </r>
    <r>
      <rPr>
        <rFont val="Arial"/>
        <b/>
        <i val="0"/>
        <color theme="1"/>
      </rPr>
      <t xml:space="preserve">Technical debt: </t>
    </r>
    <r>
      <rPr>
        <rFont val="Arial"/>
        <i/>
        <color theme="1"/>
      </rPr>
      <t xml:space="preserve">You make plans with technical debt in mind, and how you will pay it down incrementally and consistently. You advise other team members on recognising and considering it
</t>
    </r>
  </si>
  <si>
    <r>
      <rPr>
        <rFont val="Arial"/>
        <i/>
        <color theme="1"/>
      </rPr>
      <t xml:space="preserve">• </t>
    </r>
    <r>
      <rPr>
        <rFont val="Arial"/>
        <b/>
        <i val="0"/>
        <color theme="1"/>
      </rPr>
      <t>Design:</t>
    </r>
    <r>
      <rPr>
        <rFont val="Arial"/>
        <i/>
        <color theme="1"/>
      </rPr>
      <t xml:space="preserve"> You help several teams make design decisions that minimize the cost of future changes.
• </t>
    </r>
    <r>
      <rPr>
        <rFont val="Arial"/>
        <b/>
        <i val="0"/>
        <color theme="1"/>
      </rPr>
      <t xml:space="preserve">Development: </t>
    </r>
    <r>
      <rPr>
        <rFont val="Arial"/>
        <i/>
        <color theme="1"/>
      </rPr>
      <t xml:space="preserve">You work with the architecture team to define cross- team architectural approaches. You sometimes employ prototyping for exploration of designs.
• </t>
    </r>
    <r>
      <rPr>
        <rFont val="Arial"/>
        <b/>
        <i val="0"/>
        <color theme="1"/>
      </rPr>
      <t xml:space="preserve">Technical debt: </t>
    </r>
    <r>
      <rPr>
        <rFont val="Arial"/>
        <i/>
        <color theme="1"/>
      </rPr>
      <t xml:space="preserve">You understand technical debt as a long-term budgeting and risk management tool. You lead on when to incur more and when to pay it down.
</t>
    </r>
  </si>
  <si>
    <r>
      <rPr>
        <rFont val="Arial"/>
        <i/>
        <color theme="1"/>
      </rPr>
      <t xml:space="preserve">• </t>
    </r>
    <r>
      <rPr>
        <rFont val="Arial"/>
        <b/>
        <i val="0"/>
        <color theme="1"/>
      </rPr>
      <t>Design:</t>
    </r>
    <r>
      <rPr>
        <rFont val="Arial"/>
        <i/>
        <color theme="1"/>
      </rPr>
      <t xml:space="preserve"> You help several teams make design decisions that minimize the cost of future changes.
• </t>
    </r>
    <r>
      <rPr>
        <rFont val="Arial"/>
        <b/>
        <i val="0"/>
        <color theme="1"/>
      </rPr>
      <t xml:space="preserve">Development: </t>
    </r>
    <r>
      <rPr>
        <rFont val="Arial"/>
        <i/>
        <color theme="1"/>
      </rPr>
      <t xml:space="preserve">You work with the architecture team to define cross- team architectural approaches. You sometimes employ prototyping for exploration of designs.
• </t>
    </r>
    <r>
      <rPr>
        <rFont val="Arial"/>
        <b/>
        <i val="0"/>
        <color theme="1"/>
      </rPr>
      <t xml:space="preserve">Technical debt: </t>
    </r>
    <r>
      <rPr>
        <rFont val="Arial"/>
        <i/>
        <color theme="1"/>
      </rPr>
      <t xml:space="preserve">You understand technical debt as a long-term budgeting and risk management tool. You lead on when to incur more and when to pay it down.
</t>
    </r>
  </si>
  <si>
    <t>The ability to understand and apply security principles, handle user data appropriately and report security concerns</t>
  </si>
  <si>
    <t>Is able to understand the importance of security.</t>
  </si>
  <si>
    <t>Is able to understand the importance of security and starts to see work through a security lens.</t>
  </si>
  <si>
    <t>Consistently approaches all engineering work with a security lens.</t>
  </si>
  <si>
    <t>Consistently promotes a security first mindset within the team, leading by example.</t>
  </si>
  <si>
    <t>Is a leader in security strategy.</t>
  </si>
  <si>
    <r>
      <rPr>
        <rFont val="Arial"/>
        <i/>
        <color theme="1"/>
      </rPr>
      <t xml:space="preserve">• </t>
    </r>
    <r>
      <rPr>
        <rFont val="Arial"/>
        <b/>
        <i val="0"/>
        <color theme="1"/>
      </rPr>
      <t>Knowledge:</t>
    </r>
    <r>
      <rPr>
        <rFont val="Arial"/>
        <i/>
        <color theme="1"/>
      </rPr>
      <t xml:space="preserve"> You understand basic security principles and apply them to your daily work.
• </t>
    </r>
    <r>
      <rPr>
        <rFont val="Arial"/>
        <b/>
        <i val="0"/>
        <color theme="1"/>
      </rPr>
      <t xml:space="preserve">User data: </t>
    </r>
    <r>
      <rPr>
        <rFont val="Arial"/>
        <i/>
        <color theme="1"/>
      </rPr>
      <t xml:space="preserve">You understand the importance of handling user data and do so responsibly.
• </t>
    </r>
    <r>
      <rPr>
        <rFont val="Arial"/>
        <b/>
        <i val="0"/>
        <color theme="1"/>
      </rPr>
      <t xml:space="preserve">Reporting: </t>
    </r>
    <r>
      <rPr>
        <rFont val="Arial"/>
        <i/>
        <color theme="1"/>
      </rPr>
      <t xml:space="preserve">You immediately report security concerns to manager or security teams.
</t>
    </r>
  </si>
  <si>
    <r>
      <rPr>
        <rFont val="Arial"/>
        <i/>
        <color theme="1"/>
      </rPr>
      <t xml:space="preserve">• </t>
    </r>
    <r>
      <rPr>
        <rFont val="Arial"/>
        <b/>
        <i val="0"/>
        <color theme="1"/>
      </rPr>
      <t>Knowledge:</t>
    </r>
    <r>
      <rPr>
        <rFont val="Arial"/>
        <i/>
        <color theme="1"/>
      </rPr>
      <t xml:space="preserve"> You understand general security principles and apply them to your daily work. You ask more senior engineers for help on making decisions that may have security implications.
• </t>
    </r>
    <r>
      <rPr>
        <rFont val="Arial"/>
        <b/>
        <i val="0"/>
        <color theme="1"/>
      </rPr>
      <t xml:space="preserve">User data: </t>
    </r>
    <r>
      <rPr>
        <rFont val="Arial"/>
        <i/>
        <color theme="1"/>
      </rPr>
      <t xml:space="preserve">You understand the importance of handling user data and does so responsibly without exception.
• </t>
    </r>
    <r>
      <rPr>
        <rFont val="Arial"/>
        <b/>
        <i val="0"/>
        <color theme="1"/>
      </rPr>
      <t xml:space="preserve">Reporting: </t>
    </r>
    <r>
      <rPr>
        <rFont val="Arial"/>
        <i/>
        <color theme="1"/>
      </rPr>
      <t xml:space="preserve">You immediately reports security concerns to manager or security teams.
</t>
    </r>
  </si>
  <si>
    <r>
      <rPr>
        <rFont val="Arial"/>
        <i/>
        <color theme="1"/>
      </rPr>
      <t xml:space="preserve">• </t>
    </r>
    <r>
      <rPr>
        <rFont val="Arial"/>
        <b/>
        <i val="0"/>
        <color theme="1"/>
      </rPr>
      <t>Knowledge:</t>
    </r>
    <r>
      <rPr>
        <rFont val="Arial"/>
        <i/>
        <color theme="1"/>
      </rPr>
      <t xml:space="preserve"> You have an excellent understanding of security principles and you work to better facilitate the team's understanding.
• </t>
    </r>
    <r>
      <rPr>
        <rFont val="Arial"/>
        <b/>
        <i val="0"/>
        <color theme="1"/>
      </rPr>
      <t xml:space="preserve">User data: </t>
    </r>
    <r>
      <rPr>
        <rFont val="Arial"/>
        <i/>
        <color theme="1"/>
      </rPr>
      <t xml:space="preserve">You have faultless handling of user data, and set an example for others within the team.
• </t>
    </r>
    <r>
      <rPr>
        <rFont val="Arial"/>
        <b/>
        <i val="0"/>
        <color theme="1"/>
      </rPr>
      <t xml:space="preserve">Proactivity: </t>
    </r>
    <r>
      <rPr>
        <rFont val="Arial"/>
        <i/>
        <color theme="1"/>
      </rPr>
      <t xml:space="preserve">You actively look for security vulnerabilities both in the code and when providing peer reviews.
• </t>
    </r>
    <r>
      <rPr>
        <rFont val="Arial"/>
        <b/>
        <i val="0"/>
        <color theme="1"/>
      </rPr>
      <t xml:space="preserve">Collaboration: </t>
    </r>
    <r>
      <rPr>
        <rFont val="Arial"/>
        <i/>
        <color theme="1"/>
      </rPr>
      <t xml:space="preserve">You work with the security teams to help refine technical strategy.
</t>
    </r>
  </si>
  <si>
    <r>
      <rPr>
        <rFont val="Arial"/>
        <i/>
        <color theme="1"/>
      </rPr>
      <t xml:space="preserve">• </t>
    </r>
    <r>
      <rPr>
        <rFont val="Arial"/>
        <b/>
        <i val="0"/>
        <color theme="1"/>
      </rPr>
      <t>Knowledge:</t>
    </r>
    <r>
      <rPr>
        <rFont val="Arial"/>
        <i/>
        <color theme="1"/>
      </rPr>
      <t xml:space="preserve"> You have impeccable understanding of security principles, and regularly impart this knowledge on your team.
• </t>
    </r>
    <r>
      <rPr>
        <rFont val="Arial"/>
        <b/>
        <i val="0"/>
        <color theme="1"/>
      </rPr>
      <t xml:space="preserve">User data: </t>
    </r>
    <r>
      <rPr>
        <rFont val="Arial"/>
        <i/>
        <color theme="1"/>
      </rPr>
      <t xml:space="preserve">You have faultless handling of user data, setting an example within the organization.
• </t>
    </r>
    <r>
      <rPr>
        <rFont val="Arial"/>
        <b/>
        <i val="0"/>
        <color theme="1"/>
      </rPr>
      <t xml:space="preserve">Strategy: </t>
    </r>
    <r>
      <rPr>
        <rFont val="Arial"/>
        <i/>
        <color theme="1"/>
      </rPr>
      <t xml:space="preserve">You lead on collaboration between your team and the security teams, to refine the team's approach to security based on the organization's security strategy. You contribute to the organization's broader security strategy.
</t>
    </r>
  </si>
  <si>
    <r>
      <rPr>
        <rFont val="Arial"/>
        <i/>
        <color theme="1"/>
      </rPr>
      <t xml:space="preserve">• </t>
    </r>
    <r>
      <rPr>
        <rFont val="Arial"/>
        <b/>
        <i val="0"/>
        <color theme="1"/>
      </rPr>
      <t>Knowledge:</t>
    </r>
    <r>
      <rPr>
        <rFont val="Arial"/>
        <i/>
        <color theme="1"/>
      </rPr>
      <t xml:space="preserve"> You have impeccable understanding of security principles, and impart this knowledge on your own team, the organization, and wider tech community. 
• </t>
    </r>
    <r>
      <rPr>
        <rFont val="Arial"/>
        <b/>
        <i val="0"/>
        <color theme="1"/>
      </rPr>
      <t xml:space="preserve">Strategy: </t>
    </r>
    <r>
      <rPr>
        <rFont val="Arial"/>
        <i/>
        <color theme="1"/>
      </rPr>
      <t xml:space="preserve">You lead the conversation around security within the organization. You are seen as an expert in the security field.
</t>
    </r>
  </si>
  <si>
    <t>The ability to understand and implement systematic debugging and monitoring practices to diagnose issues</t>
  </si>
  <si>
    <t>Understands debugging basics, the appropriate tools to use and is beginning to implement good monitoring practices</t>
  </si>
  <si>
    <t xml:space="preserve">Understands debugging basics, the appropriate tools to use and is beginning to implement good monitoring practices				</t>
  </si>
  <si>
    <t>Uses systematic debugging to diagnose all issues located to a single service and drives monitoring work across the team</t>
  </si>
  <si>
    <t>Uses systematic debugging to diagnose all issues within a set of related domains and leads in fostering a culture of observability and monitoring across several teams</t>
  </si>
  <si>
    <t>Leads incident response, and fosters and promotes a culture of observability and monitoring across the organization.</t>
  </si>
  <si>
    <r>
      <rPr>
        <rFont val="Arial"/>
        <i/>
        <color theme="1"/>
      </rPr>
      <t xml:space="preserve">• </t>
    </r>
    <r>
      <rPr>
        <rFont val="Arial"/>
        <b/>
        <i val="0"/>
        <color theme="1"/>
      </rPr>
      <t>Debugging:</t>
    </r>
    <r>
      <rPr>
        <rFont val="Arial"/>
        <i/>
        <color theme="1"/>
      </rPr>
      <t xml:space="preserve"> You are able do basic code profiling and optimize obvious bugs
• </t>
    </r>
    <r>
      <rPr>
        <rFont val="Arial"/>
        <b/>
        <i val="0"/>
        <color theme="1"/>
      </rPr>
      <t xml:space="preserve">Tools: </t>
    </r>
    <r>
      <rPr>
        <rFont val="Arial"/>
        <i/>
        <color theme="1"/>
      </rPr>
      <t xml:space="preserve">You use out-of-the box tools to instrument and monitor systems with occasional help from senior engineers.
• </t>
    </r>
    <r>
      <rPr>
        <rFont val="Arial"/>
        <b/>
        <i val="0"/>
        <color theme="1"/>
      </rPr>
      <t xml:space="preserve">Philosophy: </t>
    </r>
    <r>
      <rPr>
        <rFont val="Arial"/>
        <i/>
        <color theme="1"/>
      </rPr>
      <t>You understand the team's monitoring philosophy and work comfortably within it.</t>
    </r>
  </si>
  <si>
    <r>
      <rPr>
        <rFont val="Arial"/>
        <i/>
        <color theme="1"/>
      </rPr>
      <t xml:space="preserve">• </t>
    </r>
    <r>
      <rPr>
        <rFont val="Arial"/>
        <b/>
        <i val="0"/>
        <color theme="1"/>
      </rPr>
      <t>Debugging:</t>
    </r>
    <r>
      <rPr>
        <rFont val="Arial"/>
        <i/>
        <color theme="1"/>
      </rPr>
      <t xml:space="preserve"> You can do multi application and multi layer profiling without support and optimize almost all bugs
• </t>
    </r>
    <r>
      <rPr>
        <rFont val="Arial"/>
        <b/>
        <i val="0"/>
        <color theme="1"/>
      </rPr>
      <t xml:space="preserve">Tools: </t>
    </r>
    <r>
      <rPr>
        <rFont val="Arial"/>
        <i/>
        <color theme="1"/>
      </rPr>
      <t xml:space="preserve">You customize out of the box tools, and on occasion create small custom tools to instrument and monitor systems.
• </t>
    </r>
    <r>
      <rPr>
        <rFont val="Arial"/>
        <b/>
        <i val="0"/>
        <color theme="1"/>
      </rPr>
      <t xml:space="preserve">Philosophy: </t>
    </r>
    <r>
      <rPr>
        <rFont val="Arial"/>
        <i/>
        <color theme="1"/>
      </rPr>
      <t xml:space="preserve">You understand the organization's monitoring philosophy. You help tune and change the monitoring philosophy on your team.
• </t>
    </r>
    <r>
      <rPr>
        <rFont val="Arial"/>
        <b/>
        <i val="0"/>
        <color theme="1"/>
      </rPr>
      <t xml:space="preserve">Data: </t>
    </r>
    <r>
      <rPr>
        <rFont val="Arial"/>
        <i/>
        <color theme="1"/>
      </rPr>
      <t xml:space="preserve">You understand the operational data for your team's domain.
</t>
    </r>
  </si>
  <si>
    <r>
      <rPr>
        <rFont val="Arial"/>
        <i/>
        <color theme="1"/>
      </rPr>
      <t xml:space="preserve">• </t>
    </r>
    <r>
      <rPr>
        <rFont val="Arial"/>
        <b/>
        <i val="0"/>
        <color theme="1"/>
      </rPr>
      <t>Debugging:</t>
    </r>
    <r>
      <rPr>
        <rFont val="Arial"/>
        <i/>
        <color theme="1"/>
      </rPr>
      <t xml:space="preserve"> You use systematic debugging to diagnose cross service issues, sometimes with help from more senior engineers.
• </t>
    </r>
    <r>
      <rPr>
        <rFont val="Arial"/>
        <b/>
        <i val="0"/>
        <color theme="1"/>
      </rPr>
      <t xml:space="preserve">Tools: </t>
    </r>
    <r>
      <rPr>
        <rFont val="Arial"/>
        <i/>
        <color theme="1"/>
      </rPr>
      <t xml:space="preserve">You can judge whether a new tool is necessary to instrument and monitor systems. You can create that tool if required.
• </t>
    </r>
    <r>
      <rPr>
        <rFont val="Arial"/>
        <b/>
        <i val="0"/>
        <color theme="1"/>
      </rPr>
      <t xml:space="preserve">Philosophy: </t>
    </r>
    <r>
      <rPr>
        <rFont val="Arial"/>
        <i/>
        <color theme="1"/>
      </rPr>
      <t xml:space="preserve">You understand the cross-functional and cross-organization implications of your team's monitoring philosophy. You proactively seek to refine the monitoring philosophy of your team.
• </t>
    </r>
    <r>
      <rPr>
        <rFont val="Arial"/>
        <b/>
        <i val="0"/>
        <color theme="1"/>
      </rPr>
      <t xml:space="preserve">Data: </t>
    </r>
    <r>
      <rPr>
        <rFont val="Arial"/>
        <i/>
        <color theme="1"/>
      </rPr>
      <t xml:space="preserve">You are aware of the operational data for your team and use it as a basis for driving changes to your team's services to achieve stability and performance improvements.
• </t>
    </r>
    <r>
      <rPr>
        <rFont val="Arial"/>
        <b/>
        <i val="0"/>
        <color theme="1"/>
      </rPr>
      <t>Mentoring:</t>
    </r>
    <r>
      <rPr>
        <rFont val="Arial"/>
        <i/>
        <color theme="1"/>
      </rPr>
      <t xml:space="preserve"> You act as a primary mentor for the rest of their team on running systems.
</t>
    </r>
  </si>
  <si>
    <r>
      <rPr>
        <rFont val="Arial"/>
        <i/>
        <color theme="1"/>
      </rPr>
      <t xml:space="preserve">• </t>
    </r>
    <r>
      <rPr>
        <rFont val="Arial"/>
        <b/>
        <i val="0"/>
        <color theme="1"/>
      </rPr>
      <t>Debugging:</t>
    </r>
    <r>
      <rPr>
        <rFont val="Arial"/>
        <i/>
        <color theme="1"/>
      </rPr>
      <t xml:space="preserve"> You use systematic debugging to diagnose cross service issues
• </t>
    </r>
    <r>
      <rPr>
        <rFont val="Arial"/>
        <b/>
        <i val="0"/>
        <color theme="1"/>
      </rPr>
      <t xml:space="preserve">Philosphy: </t>
    </r>
    <r>
      <rPr>
        <rFont val="Arial"/>
        <i/>
        <color theme="1"/>
      </rPr>
      <t xml:space="preserve">You drive monitoring work across several teams based on the organization's monitoring philosophy.
• </t>
    </r>
    <r>
      <rPr>
        <rFont val="Arial"/>
        <b/>
        <i val="0"/>
        <color theme="1"/>
      </rPr>
      <t xml:space="preserve">Data: </t>
    </r>
    <r>
      <rPr>
        <rFont val="Arial"/>
        <i/>
        <color theme="1"/>
      </rPr>
      <t xml:space="preserve">You are aware of the operational data for domains of several teams and use it to drive changes to the teams' services to achieve stability and performance improvements.
• </t>
    </r>
    <r>
      <rPr>
        <rFont val="Arial"/>
        <b/>
        <i val="0"/>
        <color theme="1"/>
      </rPr>
      <t xml:space="preserve">Profiling: </t>
    </r>
    <r>
      <rPr>
        <rFont val="Arial"/>
        <i/>
        <color theme="1"/>
      </rPr>
      <t xml:space="preserve">You can solve any profiling challenge at any layer of the stack.
• </t>
    </r>
    <r>
      <rPr>
        <rFont val="Arial"/>
        <b/>
        <i val="0"/>
        <color theme="1"/>
      </rPr>
      <t>Mentoring:</t>
    </r>
    <r>
      <rPr>
        <rFont val="Arial"/>
        <i/>
        <color theme="1"/>
      </rPr>
      <t xml:space="preserve"> You actively seek to mentor any junior engineer or manager on running systems.
</t>
    </r>
  </si>
  <si>
    <r>
      <rPr>
        <rFont val="Arial"/>
        <i/>
        <color theme="1"/>
      </rPr>
      <t xml:space="preserve">• </t>
    </r>
    <r>
      <rPr>
        <rFont val="Arial"/>
        <b/>
        <i val="0"/>
        <color theme="1"/>
      </rPr>
      <t>Debugging:</t>
    </r>
    <r>
      <rPr>
        <rFont val="Arial"/>
        <i/>
        <color theme="1"/>
      </rPr>
      <t xml:space="preserve"> Uses systematic debugging to diagnose issues across the organization.
• </t>
    </r>
    <r>
      <rPr>
        <rFont val="Arial"/>
        <b/>
        <i val="0"/>
        <color theme="1"/>
      </rPr>
      <t xml:space="preserve">Philosophy: </t>
    </r>
    <r>
      <rPr>
        <rFont val="Arial"/>
        <i/>
        <color theme="1"/>
      </rPr>
      <t xml:space="preserve">You lead the organization's monitoring philosophy.
• </t>
    </r>
    <r>
      <rPr>
        <rFont val="Arial"/>
        <b/>
        <i val="0"/>
        <color theme="1"/>
      </rPr>
      <t xml:space="preserve">Data: </t>
    </r>
    <r>
      <rPr>
        <rFont val="Arial"/>
        <i/>
        <color theme="1"/>
      </rPr>
      <t xml:space="preserve">You teams across the organization use operational data to improve stability and performance of their domains.
• </t>
    </r>
    <r>
      <rPr>
        <rFont val="Arial"/>
        <b/>
        <i val="0"/>
        <color theme="1"/>
      </rPr>
      <t>Mentoring:</t>
    </r>
    <r>
      <rPr>
        <rFont val="Arial"/>
        <i/>
        <color theme="1"/>
      </rPr>
      <t xml:space="preserve"> You are a mentor for senior managers across the organization.
</t>
    </r>
  </si>
  <si>
    <t>The ability to understand the needs of the business and ensure that your team can meet them</t>
  </si>
  <si>
    <t>A competent interviewer. Able to follow a structured hiring process, and make a decision.</t>
  </si>
  <si>
    <t xml:space="preserve">A competent interviewer. Able to follow a structured hiring process, and make a decision.				</t>
  </si>
  <si>
    <r>
      <rPr>
        <rFont val="Arial"/>
        <i/>
        <color theme="1"/>
      </rPr>
      <t xml:space="preserve">• </t>
    </r>
    <r>
      <rPr>
        <rFont val="Arial"/>
        <b/>
        <i val="0"/>
        <color theme="1"/>
      </rPr>
      <t xml:space="preserve">Deploying Teams: </t>
    </r>
    <r>
      <rPr>
        <rFont val="Arial"/>
        <i/>
        <color theme="1"/>
      </rPr>
      <t xml:space="preserve">You've carved out an additional role for yourself or peers to fulfil a need that a team has.
• </t>
    </r>
    <r>
      <rPr>
        <rFont val="Arial"/>
        <b/>
        <i val="0"/>
        <color theme="1"/>
      </rPr>
      <t xml:space="preserve">Employer Brand: </t>
    </r>
    <r>
      <rPr>
        <rFont val="Arial"/>
        <i/>
        <color theme="1"/>
      </rPr>
      <t xml:space="preserve">You've helped to establish the company as a good employer through promotion on stage or online. You've inputted into the company's careers pages.
• </t>
    </r>
    <r>
      <rPr>
        <rFont val="Arial"/>
        <b/>
        <i val="0"/>
        <color theme="1"/>
      </rPr>
      <t xml:space="preserve">Hiring: </t>
    </r>
    <r>
      <rPr>
        <rFont val="Arial"/>
        <i/>
        <color theme="1"/>
      </rPr>
      <t>You are regularly part of hiring panels, and have been hiring manager for at least one hire that passed probation.</t>
    </r>
  </si>
  <si>
    <r>
      <rPr>
        <rFont val="Arial"/>
        <i/>
        <color theme="1"/>
      </rPr>
      <t xml:space="preserve">• </t>
    </r>
    <r>
      <rPr>
        <rFont val="Arial"/>
        <b/>
        <i val="0"/>
        <color theme="1"/>
      </rPr>
      <t xml:space="preserve">Deploying Teams: </t>
    </r>
    <r>
      <rPr>
        <rFont val="Arial"/>
        <i/>
        <color theme="1"/>
      </rPr>
      <t xml:space="preserve">You've carved out an additional role for yourself or peers to fulfil a need that a team has.
• </t>
    </r>
    <r>
      <rPr>
        <rFont val="Arial"/>
        <b/>
        <i val="0"/>
        <color theme="1"/>
      </rPr>
      <t xml:space="preserve">Employer Brand: </t>
    </r>
    <r>
      <rPr>
        <rFont val="Arial"/>
        <i/>
        <color theme="1"/>
      </rPr>
      <t xml:space="preserve">You've helped to establish the company as a good employer through promotion on stage or online. You've inputted into the company's careers pages.
• </t>
    </r>
    <r>
      <rPr>
        <rFont val="Arial"/>
        <b/>
        <i val="0"/>
        <color theme="1"/>
      </rPr>
      <t xml:space="preserve">Hiring: </t>
    </r>
    <r>
      <rPr>
        <rFont val="Arial"/>
        <i/>
        <color theme="1"/>
      </rPr>
      <t>You are regularly part of hiring panels, and have been hiring manager for at least one hire that passed probation.</t>
    </r>
  </si>
  <si>
    <r>
      <rPr>
        <rFont val="Arial"/>
        <i/>
        <color theme="1"/>
      </rPr>
      <t xml:space="preserve">• </t>
    </r>
    <r>
      <rPr>
        <rFont val="Arial"/>
        <b/>
        <i val="0"/>
        <color theme="1"/>
      </rPr>
      <t xml:space="preserve">Deploying Teams: </t>
    </r>
    <r>
      <rPr>
        <rFont val="Arial"/>
        <i/>
        <color theme="1"/>
      </rPr>
      <t xml:space="preserve">You've carved out an additional role for yourself or peers to fulfil a need that a team has.
• </t>
    </r>
    <r>
      <rPr>
        <rFont val="Arial"/>
        <b/>
        <i val="0"/>
        <color theme="1"/>
      </rPr>
      <t xml:space="preserve">Employer Brand: </t>
    </r>
    <r>
      <rPr>
        <rFont val="Arial"/>
        <i/>
        <color theme="1"/>
      </rPr>
      <t xml:space="preserve">You've helped to establish the company as a good employer through promotion on stage or online. You've inputted into the company's careers pages.
• </t>
    </r>
    <r>
      <rPr>
        <rFont val="Arial"/>
        <b/>
        <i val="0"/>
        <color theme="1"/>
      </rPr>
      <t xml:space="preserve">Hiring: </t>
    </r>
    <r>
      <rPr>
        <rFont val="Arial"/>
        <i/>
        <color theme="1"/>
      </rPr>
      <t>You are regularly part of hiring panels, and have been hiring manager for at least one hire that passed probation.</t>
    </r>
  </si>
  <si>
    <r>
      <rPr>
        <rFont val="Arial"/>
        <i/>
        <color theme="1"/>
      </rPr>
      <t xml:space="preserve">• </t>
    </r>
    <r>
      <rPr>
        <rFont val="Arial"/>
        <b/>
        <i val="0"/>
        <color theme="1"/>
      </rPr>
      <t xml:space="preserve">Deploying Teams: </t>
    </r>
    <r>
      <rPr>
        <rFont val="Arial"/>
        <i/>
        <color theme="1"/>
      </rPr>
      <t xml:space="preserve">You've carved out an additional role for yourself or peers to fulfil a need that a team has.
• </t>
    </r>
    <r>
      <rPr>
        <rFont val="Arial"/>
        <b/>
        <i val="0"/>
        <color theme="1"/>
      </rPr>
      <t xml:space="preserve">Employer Brand: </t>
    </r>
    <r>
      <rPr>
        <rFont val="Arial"/>
        <i/>
        <color theme="1"/>
      </rPr>
      <t xml:space="preserve">You've helped to establish the company as a good employer through promotion on stage or online. You've inputted into the company's careers pages.
• </t>
    </r>
    <r>
      <rPr>
        <rFont val="Arial"/>
        <b/>
        <i val="0"/>
        <color theme="1"/>
      </rPr>
      <t xml:space="preserve">Hiring: </t>
    </r>
    <r>
      <rPr>
        <rFont val="Arial"/>
        <i/>
        <color theme="1"/>
      </rPr>
      <t>You are regularly part of hiring panels, and have been hiring manager for at least one hire that passed probation.</t>
    </r>
  </si>
  <si>
    <t>The ability to ensure that teams are protected and expectations are set correctly</t>
  </si>
  <si>
    <t>Is able to keep tangential teams informed and expectations managed around everyday work updates. Uses judgement about others' reaction when disclosing information and opinions.</t>
  </si>
  <si>
    <t>Known for being efficient and reliable, and doing what they say they will do. Proactively managed expectations even when it results in frustration or personal reputation risk.</t>
  </si>
  <si>
    <t>Is able to proactively inform stakeholders both within and outside the organisation with pertinent and timely information, including bad news. Able to read and adapt to personalities across the organisation. Has good relationships with all key stakeholders.</t>
  </si>
  <si>
    <t>An expert at understanding everyone's motivations and drives, and adapting communication and priorities to fit them. Protects others, including when it results in hard conversations. Maintains good relationships with all key stakeholders even when challenging.</t>
  </si>
  <si>
    <r>
      <rPr>
        <rFont val="Arial"/>
        <i/>
        <color theme="1"/>
      </rPr>
      <t xml:space="preserve">• </t>
    </r>
    <r>
      <rPr>
        <rFont val="Arial"/>
        <b/>
        <i val="0"/>
        <color theme="1"/>
      </rPr>
      <t xml:space="preserve">Managing Goals and Expectations: </t>
    </r>
    <r>
      <rPr>
        <rFont val="Arial"/>
        <i/>
        <color theme="1"/>
      </rPr>
      <t xml:space="preserve">You lead on successful projects with external clients, internal stakeholders or partners with a successful outcome, ensuring goals are understood throughout.
• </t>
    </r>
    <r>
      <rPr>
        <rFont val="Arial"/>
        <b/>
        <i val="0"/>
        <color theme="1"/>
      </rPr>
      <t>Foresight:</t>
    </r>
    <r>
      <rPr>
        <rFont val="Arial"/>
        <i/>
        <color theme="1"/>
      </rPr>
      <t xml:space="preserve"> You work to inform departments, stakeholders or clients of an issue they face without being asked or expected to do so.
• </t>
    </r>
    <r>
      <rPr>
        <rFont val="Arial"/>
        <b/>
        <i val="0"/>
        <color theme="1"/>
      </rPr>
      <t>Engendering Trust:</t>
    </r>
    <r>
      <rPr>
        <rFont val="Arial"/>
        <i/>
        <color theme="1"/>
      </rPr>
      <t xml:space="preserve"> You bring stakeholders or clients into a process in a way that makes best use of their time and their strengths.
• </t>
    </r>
    <r>
      <rPr>
        <rFont val="Arial"/>
        <b/>
        <i val="0"/>
        <color theme="1"/>
      </rPr>
      <t>Protecting the Team:</t>
    </r>
    <r>
      <rPr>
        <rFont val="Arial"/>
        <i/>
        <color theme="1"/>
      </rPr>
      <t xml:space="preserve"> You manage a client or stakeholder relationship for a project.
</t>
    </r>
  </si>
  <si>
    <r>
      <rPr>
        <rFont val="Arial"/>
        <i/>
        <color theme="1"/>
      </rPr>
      <t xml:space="preserve">• </t>
    </r>
    <r>
      <rPr>
        <rFont val="Arial"/>
        <b/>
        <i val="0"/>
        <color theme="1"/>
      </rPr>
      <t xml:space="preserve">Managing Goals and Expectations: </t>
    </r>
    <r>
      <rPr>
        <rFont val="Arial"/>
        <i/>
        <color theme="1"/>
      </rPr>
      <t xml:space="preserve">You lead multiple smaller projects with external clients or internal stakeholders, with a successful outcome.
• </t>
    </r>
    <r>
      <rPr>
        <rFont val="Arial"/>
        <b/>
        <i val="0"/>
        <color theme="1"/>
      </rPr>
      <t>Foresight:</t>
    </r>
    <r>
      <rPr>
        <rFont val="Arial"/>
        <i/>
        <color theme="1"/>
      </rPr>
      <t xml:space="preserve"> You anticipate issues or requirements on projects in advance and work to raise those with key people outside your team. This has resulted in noticeable efficiency gains.
• </t>
    </r>
    <r>
      <rPr>
        <rFont val="Arial"/>
        <b/>
        <i val="0"/>
        <color theme="1"/>
      </rPr>
      <t>Engendering Trust:</t>
    </r>
    <r>
      <rPr>
        <rFont val="Arial"/>
        <i/>
        <color theme="1"/>
      </rPr>
      <t xml:space="preserve"> You run several small to medium sized projects in a leadership capacity, working closely with clients and stakeholders with positive reviews.
• </t>
    </r>
    <r>
      <rPr>
        <rFont val="Arial"/>
        <b/>
        <i val="0"/>
        <color theme="1"/>
      </rPr>
      <t>Protecting the Team:</t>
    </r>
    <r>
      <rPr>
        <rFont val="Arial"/>
        <i/>
        <color theme="1"/>
      </rPr>
      <t xml:space="preserve"> You create space for others in your team to do their best work by managing client or stakeholder relationships.
</t>
    </r>
  </si>
  <si>
    <r>
      <rPr>
        <rFont val="Arial"/>
        <i/>
        <color theme="1"/>
      </rPr>
      <t xml:space="preserve">• </t>
    </r>
    <r>
      <rPr>
        <rFont val="Arial"/>
        <b/>
        <i val="0"/>
        <color theme="1"/>
      </rPr>
      <t xml:space="preserve">Managing Goals and Expectations: </t>
    </r>
    <r>
      <rPr>
        <rFont val="Arial"/>
        <i/>
        <color theme="1"/>
      </rPr>
      <t xml:space="preserve">You lead multiple larger projects with external clients or internal stakeholders, including managing bad news and scope creep or timeline slippage, with successful outcomes.
• </t>
    </r>
    <r>
      <rPr>
        <rFont val="Arial"/>
        <b/>
        <i val="0"/>
        <color theme="1"/>
      </rPr>
      <t>Foresight:</t>
    </r>
    <r>
      <rPr>
        <rFont val="Arial"/>
        <i/>
        <color theme="1"/>
      </rPr>
      <t xml:space="preserve"> You look for misalignment across large scopes of work involving multiple clients or stakeholders, and ensure that they're smoothed out in advance.
• </t>
    </r>
    <r>
      <rPr>
        <rFont val="Arial"/>
        <b/>
        <i val="0"/>
        <color theme="1"/>
      </rPr>
      <t>Engendering Trust:</t>
    </r>
    <r>
      <rPr>
        <rFont val="Arial"/>
        <i/>
        <color theme="1"/>
      </rPr>
      <t xml:space="preserve"> You've repeatedly proven yourself able to work closely with clients or stakeholders in ways that earn respect and results. You use their time wisely and lean into their knowledge.
• </t>
    </r>
    <r>
      <rPr>
        <rFont val="Arial"/>
        <b/>
        <i val="0"/>
        <color theme="1"/>
      </rPr>
      <t>Protecting the Team:</t>
    </r>
    <r>
      <rPr>
        <rFont val="Arial"/>
        <i/>
        <color theme="1"/>
      </rPr>
      <t xml:space="preserve"> You protect direct reports from difficult stakeholders across multiple projects.
</t>
    </r>
  </si>
  <si>
    <r>
      <rPr>
        <rFont val="Arial"/>
        <i/>
        <color theme="1"/>
      </rPr>
      <t xml:space="preserve">• </t>
    </r>
    <r>
      <rPr>
        <rFont val="Arial"/>
        <b/>
        <i val="0"/>
        <color theme="1"/>
      </rPr>
      <t xml:space="preserve">Managing Goals and Expectations: </t>
    </r>
    <r>
      <rPr>
        <rFont val="Arial"/>
        <i/>
        <color theme="1"/>
      </rPr>
      <t xml:space="preserve">You lead entire client or stakeholder relationships over the course of multiple quarters across successful and unsuccessful projects whilst maintaining good outcomes.
• </t>
    </r>
    <r>
      <rPr>
        <rFont val="Arial"/>
        <b/>
        <i val="0"/>
        <color theme="1"/>
      </rPr>
      <t>Foresight:</t>
    </r>
    <r>
      <rPr>
        <rFont val="Arial"/>
        <i/>
        <color theme="1"/>
      </rPr>
      <t xml:space="preserve"> Your foresight has been proven over multiple projects involving multiple teams. You act as the stakeholder or client in order to tease out extra requirements, due to your deep understanding of their incentives.
• </t>
    </r>
    <r>
      <rPr>
        <rFont val="Arial"/>
        <b/>
        <i val="0"/>
        <color theme="1"/>
      </rPr>
      <t>Engendering Trust:</t>
    </r>
    <r>
      <rPr>
        <rFont val="Arial"/>
        <i/>
        <color theme="1"/>
      </rPr>
      <t xml:space="preserve"> You're a key contact for stakeholders or external clients, funnelling work and information to them as you see fit. They ask for you to be involved in processes and meetings due to your respect for their time and needs.
• </t>
    </r>
    <r>
      <rPr>
        <rFont val="Arial"/>
        <b/>
        <i val="0"/>
        <color theme="1"/>
      </rPr>
      <t>Protecting the Team:</t>
    </r>
    <r>
      <rPr>
        <rFont val="Arial"/>
        <i/>
        <color theme="1"/>
      </rPr>
      <t xml:space="preserve"> You protect embattled teams from being thrown off course, identifying difficult clients and stakeholder roadblocks, resolving issues.
</t>
    </r>
  </si>
  <si>
    <r>
      <rPr>
        <rFont val="Arial"/>
        <i/>
        <color theme="1"/>
      </rPr>
      <t xml:space="preserve">• </t>
    </r>
    <r>
      <rPr>
        <rFont val="Arial"/>
        <b/>
        <i val="0"/>
        <color theme="1"/>
      </rPr>
      <t xml:space="preserve">Managing Goals and Expectations: </t>
    </r>
    <r>
      <rPr>
        <rFont val="Arial"/>
        <i/>
        <color theme="1"/>
      </rPr>
      <t xml:space="preserve">You lead entire client or stakeholder relationships over the course of multiple quarters across successful and unsuccessful projects whilst maintaining good outcomes.
• </t>
    </r>
    <r>
      <rPr>
        <rFont val="Arial"/>
        <b/>
        <i val="0"/>
        <color theme="1"/>
      </rPr>
      <t>Foresight:</t>
    </r>
    <r>
      <rPr>
        <rFont val="Arial"/>
        <i/>
        <color theme="1"/>
      </rPr>
      <t xml:space="preserve"> Your foresight has been proven over multiple projects involving multiple teams. You act as the stakeholder or client in order to tease out extra requirements, due to your deep understanding of their incentives.
• </t>
    </r>
    <r>
      <rPr>
        <rFont val="Arial"/>
        <b/>
        <i val="0"/>
        <color theme="1"/>
      </rPr>
      <t>Engendering Trust:</t>
    </r>
    <r>
      <rPr>
        <rFont val="Arial"/>
        <i/>
        <color theme="1"/>
      </rPr>
      <t xml:space="preserve"> You're a key contact for stakeholders or external clients, funnelling work and information to them as you see fit. They ask for you to be involved in processes and meetings due to your respect for their time and needs.
• </t>
    </r>
    <r>
      <rPr>
        <rFont val="Arial"/>
        <b/>
        <i val="0"/>
        <color theme="1"/>
      </rPr>
      <t>Protecting the Team:</t>
    </r>
    <r>
      <rPr>
        <rFont val="Arial"/>
        <i/>
        <color theme="1"/>
      </rPr>
      <t xml:space="preserve"> You protect embattled teams from being thrown off course, identifying difficult clients and stakeholder roadblocks, resolving issues.
</t>
    </r>
  </si>
  <si>
    <t>The ability to maintain quality, efficiency and establish trust in your ability</t>
  </si>
  <si>
    <t>Capable of informally managing interns, contractors, suppliers and agencies. Possibly manages one or two junior team members. Doesn't look for glory, and doesn't complain about boring work. Assumes good decisions in others work. Broadly does what they say they're going to do.</t>
  </si>
  <si>
    <t xml:space="preserve">Capable of managing a small team effectively. Happily sits in meetings so the team doesn't have to. Follows through on promises around work, rewards and time.
</t>
  </si>
  <si>
    <t>Capable of managing a larger team effectively. Protects the team, ensuring they're always clear on the goal, but also works to create space for them to make decisions and grow. Zero ego: open and honest with intentions, goals, failings and expectations. Dependable to a fault, leading to deep trust amongst direct reports.</t>
  </si>
  <si>
    <r>
      <rPr>
        <rFont val="Arial"/>
        <i/>
        <color theme="1"/>
      </rPr>
      <t xml:space="preserve">• </t>
    </r>
    <r>
      <rPr>
        <rFont val="Arial"/>
        <b/>
        <i val="0"/>
        <color theme="1"/>
      </rPr>
      <t xml:space="preserve">Putting the Team first: </t>
    </r>
    <r>
      <rPr>
        <rFont val="Arial"/>
        <i/>
        <color theme="1"/>
      </rPr>
      <t xml:space="preserve">You regularly make time for listening to and understanding the people you're responsible for.
• </t>
    </r>
    <r>
      <rPr>
        <rFont val="Arial"/>
        <b/>
        <i val="0"/>
        <color theme="1"/>
      </rPr>
      <t xml:space="preserve">Difficult Conversations: </t>
    </r>
    <r>
      <rPr>
        <rFont val="Arial"/>
        <i/>
        <color theme="1"/>
      </rPr>
      <t xml:space="preserve">You have helped someone on your team out with a difficult personal decision and acted in an objective, professional manner.
• </t>
    </r>
    <r>
      <rPr>
        <rFont val="Arial"/>
        <b/>
        <i val="0"/>
        <color theme="1"/>
      </rPr>
      <t xml:space="preserve">Reliability: </t>
    </r>
    <r>
      <rPr>
        <rFont val="Arial"/>
        <i/>
        <color theme="1"/>
      </rPr>
      <t xml:space="preserve">You have been open about your intentions when making a team-level decision – for example moving people between teams or introducing new role expectations – and followed through.
• </t>
    </r>
    <r>
      <rPr>
        <rFont val="Arial"/>
        <b/>
        <i val="0"/>
        <color theme="1"/>
      </rPr>
      <t>Vulnerability:</t>
    </r>
    <r>
      <rPr>
        <rFont val="Arial"/>
        <i/>
        <color theme="1"/>
      </rPr>
      <t xml:space="preserve"> You have proactively admitted fault and weakness in yourself to team members, and admitted a mistake made in work you've done.</t>
    </r>
  </si>
  <si>
    <r>
      <rPr>
        <rFont val="Arial"/>
        <i/>
        <color theme="1"/>
      </rPr>
      <t xml:space="preserve">• </t>
    </r>
    <r>
      <rPr>
        <rFont val="Arial"/>
        <b/>
        <i val="0"/>
        <color theme="1"/>
      </rPr>
      <t xml:space="preserve">Putting the Team first: </t>
    </r>
    <r>
      <rPr>
        <rFont val="Arial"/>
        <i/>
        <color theme="1"/>
      </rPr>
      <t xml:space="preserve">You put the team first in your priority list, as demonstrated by several examples of you taking on administrative or boring work on their behalf.
• </t>
    </r>
    <r>
      <rPr>
        <rFont val="Arial"/>
        <b/>
        <i val="0"/>
        <color theme="1"/>
      </rPr>
      <t xml:space="preserve">Difficult Conversations: </t>
    </r>
    <r>
      <rPr>
        <rFont val="Arial"/>
        <i/>
        <color theme="1"/>
      </rPr>
      <t xml:space="preserve">You have had hard conversations about compensation, performance or work-related issues with members of your team, and dealt with them effectively and professionally
• </t>
    </r>
    <r>
      <rPr>
        <rFont val="Arial"/>
        <b/>
        <i val="0"/>
        <color theme="1"/>
      </rPr>
      <t xml:space="preserve">Reliability: </t>
    </r>
    <r>
      <rPr>
        <rFont val="Arial"/>
        <i/>
        <color theme="1"/>
      </rPr>
      <t xml:space="preserve">You have been consistently open about intentions and reliable when executing multiple team-level decisions affecting the working days and potential happiness of your team.
• </t>
    </r>
    <r>
      <rPr>
        <rFont val="Arial"/>
        <b/>
        <i val="0"/>
        <color theme="1"/>
      </rPr>
      <t>Vulnerability:</t>
    </r>
    <r>
      <rPr>
        <rFont val="Arial"/>
        <i/>
        <color theme="1"/>
      </rPr>
      <t xml:space="preserve"> You share your strengths and development areas with your team regularly, encouraging feedback and support. You own up whenever you've failed and apologise when appropriate.</t>
    </r>
  </si>
  <si>
    <r>
      <rPr>
        <rFont val="Arial"/>
        <i/>
        <color theme="1"/>
      </rPr>
      <t xml:space="preserve">• </t>
    </r>
    <r>
      <rPr>
        <rFont val="Arial"/>
        <b/>
        <i val="0"/>
        <color theme="1"/>
      </rPr>
      <t xml:space="preserve">Putting the Team first: </t>
    </r>
    <r>
      <rPr>
        <rFont val="Arial"/>
        <i/>
        <color theme="1"/>
      </rPr>
      <t xml:space="preserve">You're visibly selfless and devoted as a manager. You have repeatedly put the team first in decisions which affect your workload. You've given opportunities for your team to shine in situations you could have taken yourself.
• </t>
    </r>
    <r>
      <rPr>
        <rFont val="Arial"/>
        <b/>
        <i val="0"/>
        <color theme="1"/>
      </rPr>
      <t xml:space="preserve">Difficult Conversations: </t>
    </r>
    <r>
      <rPr>
        <rFont val="Arial"/>
        <i/>
        <color theme="1"/>
      </rPr>
      <t xml:space="preserve">You have, over a significant period of time, managed team-level conversations effectively, as proven by your ability to maintain a largely happy and committed team throughout your tenure.
• </t>
    </r>
    <r>
      <rPr>
        <rFont val="Arial"/>
        <b/>
        <i val="0"/>
        <color theme="1"/>
      </rPr>
      <t xml:space="preserve">Reliability: </t>
    </r>
    <r>
      <rPr>
        <rFont val="Arial"/>
        <i/>
        <color theme="1"/>
      </rPr>
      <t xml:space="preserve">You have been honest and open about intentions and goals with regards to at least one major team level decisions affecting multiple direct reports. You've listened to feedback and adjusted plans where possible. You have delivered as promised.
• </t>
    </r>
    <r>
      <rPr>
        <rFont val="Arial"/>
        <b/>
        <i val="0"/>
        <color theme="1"/>
      </rPr>
      <t>Vulnerability:</t>
    </r>
    <r>
      <rPr>
        <rFont val="Arial"/>
        <i/>
        <color theme="1"/>
      </rPr>
      <t xml:space="preserve"> You make a point of asking for feedback on your actions from your team. You consciously make time for self-reflection and evaluation, which you open up for others to view. You recognise the value of being human to your team.</t>
    </r>
  </si>
  <si>
    <t>Able to recognise the strengths of peers, and look for ways to support those strengths through project work. Has invested time in materials or process to support team growth. Peers see them as an informal coach.</t>
  </si>
  <si>
    <t xml:space="preserve">Actively looking for and honing in on the strengths of direct reports, and finding ways to up-skill them. Regularly digging into motivations and ambitions of the team, and building goals and process around them. As a result, team members visibly grow and progress over time.
</t>
  </si>
  <si>
    <t>Has a structured process and methodology for assessing, refining and supporting the strengths and goals of their team. Spends meaningful time investing in laying groundwork for personal growth, including milestones, goals and structured opportunities. Their team are growing at above average speed.</t>
  </si>
  <si>
    <r>
      <rPr>
        <rFont val="Arial"/>
        <i/>
        <color theme="1"/>
      </rPr>
      <t xml:space="preserve">• </t>
    </r>
    <r>
      <rPr>
        <rFont val="Arial"/>
        <b/>
        <i val="0"/>
        <color theme="1"/>
      </rPr>
      <t xml:space="preserve">Identifying strengths: </t>
    </r>
    <r>
      <rPr>
        <rFont val="Arial"/>
        <i/>
        <color theme="1"/>
      </rPr>
      <t>You recognise natural strengths in your peers which you help them to nurture.</t>
    </r>
    <r>
      <rPr>
        <rFont val="Arial"/>
        <b/>
        <i val="0"/>
        <color theme="1"/>
      </rPr>
      <t xml:space="preserve">
</t>
    </r>
    <r>
      <rPr>
        <rFont val="Arial"/>
        <i/>
        <color theme="1"/>
      </rPr>
      <t xml:space="preserve">• </t>
    </r>
    <r>
      <rPr>
        <rFont val="Arial"/>
        <b/>
        <i val="0"/>
        <color theme="1"/>
      </rPr>
      <t xml:space="preserve">Supporting team growth: </t>
    </r>
    <r>
      <rPr>
        <rFont val="Arial"/>
        <i/>
        <color theme="1"/>
      </rPr>
      <t xml:space="preserve">You support and champion peers in their personal growth, celebrating a promotion, successful project or praise from others.
• </t>
    </r>
    <r>
      <rPr>
        <rFont val="Arial"/>
        <b/>
        <i val="0"/>
        <color theme="1"/>
      </rPr>
      <t xml:space="preserve">Investing in process: </t>
    </r>
    <r>
      <rPr>
        <rFont val="Arial"/>
        <i/>
        <color theme="1"/>
      </rPr>
      <t>You invest in your future through a process of skills assessment to define your future direction.</t>
    </r>
    <r>
      <rPr>
        <rFont val="Arial"/>
        <b/>
        <i val="0"/>
        <color theme="1"/>
      </rPr>
      <t xml:space="preserve">
</t>
    </r>
    <r>
      <rPr>
        <rFont val="Arial"/>
        <i val="0"/>
        <color theme="1"/>
      </rPr>
      <t xml:space="preserve">• </t>
    </r>
    <r>
      <rPr>
        <rFont val="Arial"/>
        <b/>
        <i val="0"/>
        <color theme="1"/>
      </rPr>
      <t xml:space="preserve">Feedback on work: </t>
    </r>
    <r>
      <rPr>
        <rFont val="Arial"/>
        <i/>
        <color theme="1"/>
      </rPr>
      <t xml:space="preserve">Your feedback to peers on their work is honest, actionable and timely. You put the needs of the project over personal inhibitions. You're comfortable with having your mind changed.
</t>
    </r>
  </si>
  <si>
    <r>
      <rPr>
        <rFont val="Arial"/>
        <i/>
        <color theme="1"/>
      </rPr>
      <t xml:space="preserve">• </t>
    </r>
    <r>
      <rPr>
        <rFont val="Arial"/>
        <b/>
        <i val="0"/>
        <color theme="1"/>
      </rPr>
      <t xml:space="preserve">Identifying strengths: </t>
    </r>
    <r>
      <rPr>
        <rFont val="Arial"/>
        <i/>
        <color theme="1"/>
      </rPr>
      <t>You seek out and identify natural strength in your team, which you turn into goals. This results in measurable improvements in at least one report's skillset.</t>
    </r>
    <r>
      <rPr>
        <rFont val="Arial"/>
        <b/>
        <i val="0"/>
        <color theme="1"/>
      </rPr>
      <t xml:space="preserve">
</t>
    </r>
    <r>
      <rPr>
        <rFont val="Arial"/>
        <i/>
        <color theme="1"/>
      </rPr>
      <t xml:space="preserve">• </t>
    </r>
    <r>
      <rPr>
        <rFont val="Arial"/>
        <b/>
        <i val="0"/>
        <color theme="1"/>
      </rPr>
      <t xml:space="preserve">Supporting team growth: </t>
    </r>
    <r>
      <rPr>
        <rFont val="Arial"/>
        <i/>
        <color theme="1"/>
      </rPr>
      <t xml:space="preserve">You support multiple reports in their personal growth, giving them opportunities to train and rewarding them when complete. You follow through on promises you set around progression through your organisation.
• </t>
    </r>
    <r>
      <rPr>
        <rFont val="Arial"/>
        <b/>
        <i val="0"/>
        <color theme="1"/>
      </rPr>
      <t xml:space="preserve">Investing in process: </t>
    </r>
    <r>
      <rPr>
        <rFont val="Arial"/>
        <i/>
        <color theme="1"/>
      </rPr>
      <t>You invest in your team's development through assessment and growth-tracking, which has results in measurable completed goals.</t>
    </r>
    <r>
      <rPr>
        <rFont val="Arial"/>
        <b/>
        <i val="0"/>
        <color theme="1"/>
      </rPr>
      <t xml:space="preserve">
</t>
    </r>
    <r>
      <rPr>
        <rFont val="Arial"/>
        <i val="0"/>
        <color theme="1"/>
      </rPr>
      <t xml:space="preserve">• </t>
    </r>
    <r>
      <rPr>
        <rFont val="Arial"/>
        <b/>
        <i val="0"/>
        <color theme="1"/>
      </rPr>
      <t xml:space="preserve">Feedback on work: </t>
    </r>
    <r>
      <rPr>
        <rFont val="Arial"/>
        <i/>
        <color theme="1"/>
      </rPr>
      <t xml:space="preserve">Your feedback on your team's work is honest, actionable and timely. You ask what level they need feedback on and ensure you stick to that level. You don't give feedback when you don't have enough context to be useful, and expect to be wrong a significant amount of the time.
</t>
    </r>
  </si>
  <si>
    <r>
      <rPr>
        <rFont val="Arial"/>
        <i/>
        <color theme="1"/>
      </rPr>
      <t xml:space="preserve">• </t>
    </r>
    <r>
      <rPr>
        <rFont val="Arial"/>
        <b/>
        <i val="0"/>
        <color theme="1"/>
      </rPr>
      <t xml:space="preserve">Identifying strengths: </t>
    </r>
    <r>
      <rPr>
        <rFont val="Arial"/>
        <i/>
        <color theme="1"/>
      </rPr>
      <t>You find threads of passion or strength across a large team, and help team members to grow those strengths.</t>
    </r>
    <r>
      <rPr>
        <rFont val="Arial"/>
        <b/>
        <i val="0"/>
        <color theme="1"/>
      </rPr>
      <t xml:space="preserve">
</t>
    </r>
    <r>
      <rPr>
        <rFont val="Arial"/>
        <i/>
        <color theme="1"/>
      </rPr>
      <t xml:space="preserve">• </t>
    </r>
    <r>
      <rPr>
        <rFont val="Arial"/>
        <b/>
        <i val="0"/>
        <color theme="1"/>
      </rPr>
      <t xml:space="preserve">Supporting team growth: </t>
    </r>
    <r>
      <rPr>
        <rFont val="Arial"/>
        <i/>
        <color theme="1"/>
      </rPr>
      <t xml:space="preserve">You set growth targets for your team, and are clear on what is expected and how they'll be rewarded upon completion. You follow through on that promise. You establish budgets and space for active learning.
• </t>
    </r>
    <r>
      <rPr>
        <rFont val="Arial"/>
        <b/>
        <i val="0"/>
        <color theme="1"/>
      </rPr>
      <t xml:space="preserve">Investing in process: </t>
    </r>
    <r>
      <rPr>
        <rFont val="Arial"/>
        <i/>
        <color theme="1"/>
      </rPr>
      <t>You invest in rigorous and standardised skills assessment and goal-setting for your team, introducing clarity and purpose, resulting in your team growing in a more focused direction.</t>
    </r>
    <r>
      <rPr>
        <rFont val="Arial"/>
        <b/>
        <i val="0"/>
        <color theme="1"/>
      </rPr>
      <t xml:space="preserve">
</t>
    </r>
    <r>
      <rPr>
        <rFont val="Arial"/>
        <i val="0"/>
        <color theme="1"/>
      </rPr>
      <t xml:space="preserve">• </t>
    </r>
    <r>
      <rPr>
        <rFont val="Arial"/>
        <b/>
        <i val="0"/>
        <color theme="1"/>
      </rPr>
      <t xml:space="preserve">Feedback on work: </t>
    </r>
    <r>
      <rPr>
        <rFont val="Arial"/>
        <i/>
        <color theme="1"/>
      </rPr>
      <t xml:space="preserve">Your feedback on multiple teams' work is strictly useful and actionable. You're able to articulate in a fair and efficient way not only what your opinion is, but why you have that opinion. In disagreement you're comfortable with having your opinion changed and invite other opinions from those around you.
</t>
    </r>
  </si>
  <si>
    <t>The ability to bring groups together and foster a happy and productive environment</t>
  </si>
  <si>
    <t>Actively signals according to behaviour they want to see. Keeps a cool head around others even in stressful situations. Is involved in the planning and organising of team activities.</t>
  </si>
  <si>
    <t>Works to build and document behaviours they expect to see. Has trusted relationships with both junior colleagues and peers, and can describe where the organisation is strong or needs development. Organises regular team activities.</t>
  </si>
  <si>
    <t>Has built themselves into an important cultural guardian through both signalling and empowering others. Goes out of their way to promote good behaviour and safeness for all. Is sharing the team's culture and wellbeing outwardly</t>
  </si>
  <si>
    <r>
      <rPr>
        <rFont val="Arial"/>
        <i/>
        <color theme="1"/>
      </rPr>
      <t xml:space="preserve">• </t>
    </r>
    <r>
      <rPr>
        <rFont val="Arial"/>
        <b/>
        <i val="0"/>
        <color theme="1"/>
      </rPr>
      <t>Setting an Example:</t>
    </r>
    <r>
      <rPr>
        <rFont val="Arial"/>
        <i/>
        <color theme="1"/>
      </rPr>
      <t xml:space="preserve"> You state your expectations of how your team should work and act, then demonstrate those expectations yourself. You ask for feedback on your signalling and make a changes where appropriate.
• </t>
    </r>
    <r>
      <rPr>
        <rFont val="Arial"/>
        <b/>
        <i val="0"/>
        <color theme="1"/>
      </rPr>
      <t xml:space="preserve">Encouraging diverse opinions: </t>
    </r>
    <r>
      <rPr>
        <rFont val="Arial"/>
        <i/>
        <color theme="1"/>
      </rPr>
      <t xml:space="preserve">You help to organise and activate efforts towards a fairer, more diverse and safer workplace.
• </t>
    </r>
    <r>
      <rPr>
        <rFont val="Arial"/>
        <b/>
        <i val="0"/>
        <color theme="1"/>
      </rPr>
      <t xml:space="preserve">Developing personal relationships: </t>
    </r>
    <r>
      <rPr>
        <rFont val="Arial"/>
        <i/>
        <color theme="1"/>
      </rPr>
      <t>You invest in the relationships you are fostering with your team. You respect the sanctity of pastoral care and 1:1 time. You don't cancel and are never late.</t>
    </r>
  </si>
  <si>
    <r>
      <rPr>
        <rFont val="Arial"/>
        <i/>
        <color theme="1"/>
      </rPr>
      <t xml:space="preserve">• </t>
    </r>
    <r>
      <rPr>
        <rFont val="Arial"/>
        <b/>
        <i val="0"/>
        <color theme="1"/>
      </rPr>
      <t>Setting an Example:</t>
    </r>
    <r>
      <rPr>
        <rFont val="Arial"/>
        <i/>
        <color theme="1"/>
      </rPr>
      <t xml:space="preserve"> You state your expectations of how your team should work and act, then demonstrate those expectations yourself. You ask for feedback on your signalling and make a changes where appropriate.
• </t>
    </r>
    <r>
      <rPr>
        <rFont val="Arial"/>
        <b/>
        <i val="0"/>
        <color theme="1"/>
      </rPr>
      <t xml:space="preserve">Encouraging diverse opinions: </t>
    </r>
    <r>
      <rPr>
        <rFont val="Arial"/>
        <i/>
        <color theme="1"/>
      </rPr>
      <t xml:space="preserve">You help to organise and activate efforts towards a fairer, more diverse and safer workplace.
• </t>
    </r>
    <r>
      <rPr>
        <rFont val="Arial"/>
        <b/>
        <i val="0"/>
        <color theme="1"/>
      </rPr>
      <t xml:space="preserve">Developing personal relationships: </t>
    </r>
    <r>
      <rPr>
        <rFont val="Arial"/>
        <i/>
        <color theme="1"/>
      </rPr>
      <t>You invest in the relationships you are fostering with your team. You respect the sanctity of pastoral care and 1:1 time. You don't cancel and are never late.</t>
    </r>
  </si>
  <si>
    <r>
      <rPr>
        <rFont val="Arial"/>
        <i/>
        <color theme="1"/>
      </rPr>
      <t xml:space="preserve">• </t>
    </r>
    <r>
      <rPr>
        <rFont val="Arial"/>
        <b/>
        <i val="0"/>
        <color theme="1"/>
      </rPr>
      <t>Setting an Example:</t>
    </r>
    <r>
      <rPr>
        <rFont val="Arial"/>
        <i/>
        <color theme="1"/>
      </rPr>
      <t xml:space="preserve"> You make an effort to document a cultural charter for your team, which you cite regularly and stick to rigorously. If you break your rules, you expect to be called out.
• </t>
    </r>
    <r>
      <rPr>
        <rFont val="Arial"/>
        <b/>
        <i val="0"/>
        <color theme="1"/>
      </rPr>
      <t xml:space="preserve">Encouraging diverse opinions: </t>
    </r>
    <r>
      <rPr>
        <rFont val="Arial"/>
        <i/>
        <color theme="1"/>
      </rPr>
      <t xml:space="preserve">You're leading efforts to improve diversity in your everyday environment, organising working groups, events and discussion across large parts of your organisation.
• </t>
    </r>
    <r>
      <rPr>
        <rFont val="Arial"/>
        <b/>
        <i val="0"/>
        <color theme="1"/>
      </rPr>
      <t xml:space="preserve">Developing personal relationships: </t>
    </r>
    <r>
      <rPr>
        <rFont val="Arial"/>
        <i/>
        <color theme="1"/>
      </rPr>
      <t>You make a point of knowing all about the people who report directly to you. You build close yet professional relationships with all direct reports fostering good levels of trust.</t>
    </r>
  </si>
  <si>
    <r>
      <rPr>
        <rFont val="Arial"/>
        <i/>
        <color theme="1"/>
      </rPr>
      <t xml:space="preserve">• </t>
    </r>
    <r>
      <rPr>
        <rFont val="Arial"/>
        <b/>
        <i val="0"/>
        <color theme="1"/>
      </rPr>
      <t>Setting an Example:</t>
    </r>
    <r>
      <rPr>
        <rFont val="Arial"/>
        <i/>
        <color theme="1"/>
      </rPr>
      <t xml:space="preserve"> You actively call out peers and seniors who you feel don't signal correctly to your team and yourself. You work to educate those in positions of power to be conscious of the example they're setting.
• </t>
    </r>
    <r>
      <rPr>
        <rFont val="Arial"/>
        <b/>
        <i val="0"/>
        <color theme="1"/>
      </rPr>
      <t xml:space="preserve">Encouraging diverse opinions: </t>
    </r>
    <r>
      <rPr>
        <rFont val="Arial"/>
        <i/>
        <color theme="1"/>
      </rPr>
      <t xml:space="preserve">You're a core part of, or leading, a central initiative towards a fairer and safer workplace for all, including touching hiring strategy and coaching for key staff. You're a vocal champion for under-represented groups. You create safe spaces for debate.
• </t>
    </r>
    <r>
      <rPr>
        <rFont val="Arial"/>
        <b/>
        <i val="0"/>
        <color theme="1"/>
      </rPr>
      <t xml:space="preserve">Developing personal relationships: </t>
    </r>
    <r>
      <rPr>
        <rFont val="Arial"/>
        <i/>
        <color theme="1"/>
      </rPr>
      <t>You're close enough to both your reports and your peers to be able to spot and debug issues with culture early and often. You can predict how people will work together and interact because you know their viewpoints on the world. You're coaching other leaders in their 1:1 and interpersonal techniques.</t>
    </r>
  </si>
  <si>
    <r>
      <rPr>
        <rFont val="Arial"/>
        <i/>
        <color theme="1"/>
      </rPr>
      <t xml:space="preserve">• </t>
    </r>
    <r>
      <rPr>
        <rFont val="Arial"/>
        <b/>
        <i val="0"/>
        <color theme="1"/>
      </rPr>
      <t>Setting an Example:</t>
    </r>
    <r>
      <rPr>
        <rFont val="Arial"/>
        <i/>
        <color theme="1"/>
      </rPr>
      <t xml:space="preserve"> You actively call out peers and seniors who you feel don't signal correctly to your team and yourself. You work to educate those in positions of power to be conscious of the example they're setting.
• </t>
    </r>
    <r>
      <rPr>
        <rFont val="Arial"/>
        <b/>
        <i val="0"/>
        <color theme="1"/>
      </rPr>
      <t xml:space="preserve">Encouraging diverse opinions: </t>
    </r>
    <r>
      <rPr>
        <rFont val="Arial"/>
        <i/>
        <color theme="1"/>
      </rPr>
      <t xml:space="preserve">You're a core part of, or leading, a central initiative towards a fairer and safer workplace for all, including touching hiring strategy and coaching for key staff. You're a vocal champion for under-represented groups. You create safe spaces for debate.
• </t>
    </r>
    <r>
      <rPr>
        <rFont val="Arial"/>
        <b/>
        <i val="0"/>
        <color theme="1"/>
      </rPr>
      <t xml:space="preserve">Developing personal relationships: </t>
    </r>
    <r>
      <rPr>
        <rFont val="Arial"/>
        <i/>
        <color theme="1"/>
      </rPr>
      <t>You're close enough to both your reports and your peers to be able to spot and debug issues with culture early and often. You can predict how people will work together and interact because you know their viewpoints on the world. You're coaching other leaders in their 1:1 and interpersonal techniques.</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</si>
</sst>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
  </numFmts>
  <fonts count="20">
    <font>
      <sz val="10.0"/>
      <color rgb="FF000000"/>
      <name val="Arial"/>
      <scheme val="minor"/>
    </font>
    <font>
      <color theme="1"/>
      <name val="Courier New"/>
    </font>
    <font>
      <b/>
      <color theme="1"/>
      <name val="Courier New"/>
    </font>
    <font>
      <b/>
      <sz val="9.0"/>
      <color theme="1"/>
      <name val="Courier New"/>
    </font>
    <font>
      <b/>
      <sz val="12.0"/>
      <color theme="1"/>
      <name val="Courier New"/>
    </font>
    <font>
      <color theme="1"/>
      <name val="Arial"/>
      <scheme val="minor"/>
    </font>
    <font>
      <b/>
      <sz val="14.0"/>
      <color theme="1"/>
      <name val="Arial"/>
      <scheme val="minor"/>
    </font>
    <font>
      <b/>
      <sz val="14.0"/>
      <color rgb="FFFFFFFF"/>
      <name val="Arial"/>
      <scheme val="minor"/>
    </font>
    <font>
      <b/>
      <sz val="12.0"/>
      <color rgb="FFFFFFFF"/>
      <name val="Arial"/>
      <scheme val="minor"/>
    </font>
    <font>
      <b/>
      <sz val="12.0"/>
      <color theme="0"/>
      <name val="Arial"/>
      <scheme val="minor"/>
    </font>
    <font>
      <b/>
      <color theme="1"/>
      <name val="Arial"/>
      <scheme val="minor"/>
    </font>
    <font>
      <b/>
      <color rgb="FF4285F4"/>
      <name val="Arial"/>
    </font>
    <font>
      <color rgb="FF4285F4"/>
      <name val="Arial"/>
      <scheme val="minor"/>
    </font>
    <font>
      <b/>
      <color rgb="FF6AA84F"/>
      <name val="Arial"/>
      <scheme val="minor"/>
    </font>
    <font>
      <i/>
      <sz val="9.0"/>
      <color theme="1"/>
      <name val="Arial"/>
      <scheme val="minor"/>
    </font>
    <font>
      <i/>
      <color theme="1"/>
      <name val="Arial"/>
      <scheme val="minor"/>
    </font>
    <font>
      <b/>
      <color rgb="FFFF9900"/>
      <name val="Arial"/>
      <scheme val="minor"/>
    </font>
    <font>
      <color rgb="FFFF9900"/>
      <name val="Arial"/>
      <scheme val="minor"/>
    </font>
    <font>
      <color rgb="FF34A853"/>
      <name val="Arial"/>
      <scheme val="minor"/>
    </font>
    <font>
      <i/>
      <sz val="18.0"/>
      <color theme="1"/>
      <name val="Arial"/>
      <scheme val="minor"/>
    </font>
  </fonts>
  <fills count="19">
    <fill>
      <patternFill patternType="none"/>
    </fill>
    <fill>
      <patternFill patternType="lightGray"/>
    </fill>
    <fill>
      <patternFill patternType="solid">
        <fgColor rgb="FFFFE599"/>
        <bgColor rgb="FFFFE599"/>
      </patternFill>
    </fill>
    <fill>
      <patternFill patternType="solid">
        <fgColor rgb="FFC9DAF8"/>
        <bgColor rgb="FFC9DAF8"/>
      </patternFill>
    </fill>
    <fill>
      <patternFill patternType="solid">
        <fgColor rgb="FFFFD966"/>
        <bgColor rgb="FFFFD966"/>
      </patternFill>
    </fill>
    <fill>
      <patternFill patternType="solid">
        <fgColor rgb="FFEFEFEF"/>
        <bgColor rgb="FFEFEFEF"/>
      </patternFill>
    </fill>
    <fill>
      <patternFill patternType="solid">
        <fgColor rgb="FFFFF2CC"/>
        <bgColor rgb="FFFFF2CC"/>
      </patternFill>
    </fill>
    <fill>
      <patternFill patternType="solid">
        <fgColor rgb="FFA4C2F4"/>
        <bgColor rgb="FFA4C2F4"/>
      </patternFill>
    </fill>
    <fill>
      <patternFill patternType="solid">
        <fgColor rgb="FFB4A7D6"/>
        <bgColor rgb="FFB4A7D6"/>
      </patternFill>
    </fill>
    <fill>
      <patternFill patternType="solid">
        <fgColor rgb="FFD9D2E9"/>
        <bgColor rgb="FFD9D2E9"/>
      </patternFill>
    </fill>
    <fill>
      <patternFill patternType="solid">
        <fgColor rgb="FF999999"/>
        <bgColor rgb="FF999999"/>
      </patternFill>
    </fill>
    <fill>
      <patternFill patternType="solid">
        <fgColor rgb="FFB7B7B7"/>
        <bgColor rgb="FFB7B7B7"/>
      </patternFill>
    </fill>
    <fill>
      <patternFill patternType="solid">
        <fgColor rgb="FF6FA8DC"/>
        <bgColor rgb="FF6FA8DC"/>
      </patternFill>
    </fill>
    <fill>
      <patternFill patternType="solid">
        <fgColor rgb="FF8E7CC3"/>
        <bgColor rgb="FF8E7CC3"/>
      </patternFill>
    </fill>
    <fill>
      <patternFill patternType="solid">
        <fgColor rgb="FFFFFFFF"/>
        <bgColor rgb="FFFFFFFF"/>
      </patternFill>
    </fill>
    <fill>
      <patternFill patternType="solid">
        <fgColor rgb="FFC27BA0"/>
        <bgColor rgb="FFC27BA0"/>
      </patternFill>
    </fill>
    <fill>
      <patternFill patternType="solid">
        <fgColor theme="6"/>
        <bgColor theme="6"/>
      </patternFill>
    </fill>
    <fill>
      <patternFill patternType="solid">
        <fgColor rgb="FF93C47D"/>
        <bgColor rgb="FF93C47D"/>
      </patternFill>
    </fill>
    <fill>
      <patternFill patternType="solid">
        <fgColor rgb="FFD9D9D9"/>
        <bgColor rgb="FFD9D9D9"/>
      </patternFill>
    </fill>
  </fills>
  <borders count="2">
    <border/>
    <border>
      <left style="double">
        <color rgb="FF000000"/>
      </left>
      <right style="double">
        <color rgb="FF000000"/>
      </right>
      <top style="double">
        <color rgb="FF000000"/>
      </top>
      <bottom style="double">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shrinkToFit="0" wrapText="1"/>
    </xf>
    <xf borderId="0" fillId="0" fontId="1" numFmtId="164" xfId="0" applyAlignment="1" applyFont="1" applyNumberFormat="1">
      <alignment readingOrder="0"/>
    </xf>
    <xf borderId="0" fillId="0" fontId="1" numFmtId="0" xfId="0" applyAlignment="1" applyFont="1">
      <alignment readingOrder="0" shrinkToFit="0" wrapText="1"/>
    </xf>
    <xf borderId="0" fillId="2" fontId="2" numFmtId="0" xfId="0" applyAlignment="1" applyFill="1" applyFont="1">
      <alignment readingOrder="0"/>
    </xf>
    <xf borderId="0" fillId="3" fontId="1" numFmtId="0" xfId="0" applyFill="1" applyFont="1"/>
    <xf borderId="0" fillId="3" fontId="1" numFmtId="0" xfId="0" applyAlignment="1" applyFont="1">
      <alignment shrinkToFit="0" wrapText="1"/>
    </xf>
    <xf borderId="0" fillId="4" fontId="1" numFmtId="4" xfId="0" applyFill="1" applyFont="1" applyNumberFormat="1"/>
    <xf borderId="0" fillId="4" fontId="1" numFmtId="4" xfId="0" applyAlignment="1" applyFont="1" applyNumberFormat="1">
      <alignment readingOrder="0"/>
    </xf>
    <xf borderId="0" fillId="4" fontId="2" numFmtId="9" xfId="0" applyAlignment="1" applyFont="1" applyNumberFormat="1">
      <alignment readingOrder="0"/>
    </xf>
    <xf borderId="0" fillId="5" fontId="1" numFmtId="0" xfId="0" applyAlignment="1" applyFill="1" applyFont="1">
      <alignment vertical="top"/>
    </xf>
    <xf borderId="0" fillId="2" fontId="1" numFmtId="0" xfId="0" applyAlignment="1" applyFont="1">
      <alignment readingOrder="0" vertical="top"/>
    </xf>
    <xf borderId="0" fillId="5" fontId="1" numFmtId="0" xfId="0" applyAlignment="1" applyFont="1">
      <alignment readingOrder="0" vertical="top"/>
    </xf>
    <xf borderId="0" fillId="5" fontId="1" numFmtId="165" xfId="0" applyAlignment="1" applyFont="1" applyNumberFormat="1">
      <alignment readingOrder="0" shrinkToFit="0" vertical="top" wrapText="1"/>
    </xf>
    <xf borderId="0" fillId="6" fontId="1" numFmtId="165" xfId="0" applyAlignment="1" applyFill="1" applyFont="1" applyNumberFormat="1">
      <alignment readingOrder="0"/>
    </xf>
    <xf borderId="0" fillId="6" fontId="1" numFmtId="9" xfId="0" applyAlignment="1" applyFont="1" applyNumberFormat="1">
      <alignment readingOrder="0"/>
    </xf>
    <xf borderId="0" fillId="0" fontId="1" numFmtId="0" xfId="0" applyAlignment="1" applyFont="1">
      <alignment vertical="top"/>
    </xf>
    <xf borderId="0" fillId="0" fontId="1" numFmtId="0" xfId="0" applyAlignment="1" applyFont="1">
      <alignment readingOrder="0" vertical="top"/>
    </xf>
    <xf borderId="0" fillId="0" fontId="1" numFmtId="165" xfId="0" applyAlignment="1" applyFont="1" applyNumberFormat="1">
      <alignment readingOrder="0" shrinkToFit="0" vertical="top" wrapText="1"/>
    </xf>
    <xf borderId="0" fillId="0" fontId="1" numFmtId="165" xfId="0" applyAlignment="1" applyFont="1" applyNumberFormat="1">
      <alignment readingOrder="0"/>
    </xf>
    <xf borderId="0" fillId="2" fontId="2" numFmtId="0" xfId="0" applyAlignment="1" applyFont="1">
      <alignment readingOrder="0" vertical="top"/>
    </xf>
    <xf borderId="0" fillId="3" fontId="1" numFmtId="0" xfId="0" applyAlignment="1" applyFont="1">
      <alignment vertical="top"/>
    </xf>
    <xf borderId="0" fillId="3" fontId="1" numFmtId="0" xfId="0" applyAlignment="1" applyFont="1">
      <alignment shrinkToFit="0" vertical="top" wrapText="1"/>
    </xf>
    <xf borderId="0" fillId="7" fontId="2" numFmtId="0" xfId="0" applyAlignment="1" applyFill="1" applyFont="1">
      <alignment readingOrder="0"/>
    </xf>
    <xf borderId="0" fillId="7" fontId="1" numFmtId="0" xfId="0" applyFont="1"/>
    <xf borderId="0" fillId="7" fontId="1" numFmtId="0" xfId="0" applyAlignment="1" applyFont="1">
      <alignment shrinkToFit="0" wrapText="1"/>
    </xf>
    <xf borderId="0" fillId="7" fontId="1" numFmtId="4" xfId="0" applyFont="1" applyNumberFormat="1"/>
    <xf borderId="0" fillId="7" fontId="1" numFmtId="165" xfId="0" applyFont="1" applyNumberFormat="1"/>
    <xf borderId="0" fillId="2" fontId="2" numFmtId="9" xfId="0" applyFont="1" applyNumberFormat="1"/>
    <xf borderId="0" fillId="0" fontId="2" numFmtId="0" xfId="0" applyAlignment="1" applyFont="1">
      <alignment horizontal="right" readingOrder="0"/>
    </xf>
    <xf borderId="0" fillId="0" fontId="1" numFmtId="4" xfId="0" applyFont="1" applyNumberFormat="1"/>
    <xf borderId="0" fillId="0" fontId="3" numFmtId="0" xfId="0" applyAlignment="1" applyFont="1">
      <alignment horizontal="right" readingOrder="0"/>
    </xf>
    <xf borderId="0" fillId="0" fontId="3" numFmtId="0" xfId="0" applyAlignment="1" applyFont="1">
      <alignment horizontal="right" readingOrder="0" shrinkToFit="0" wrapText="1"/>
    </xf>
    <xf borderId="0" fillId="0" fontId="4" numFmtId="0" xfId="0" applyAlignment="1" applyFont="1">
      <alignment horizontal="right" readingOrder="0" vertical="center"/>
    </xf>
    <xf borderId="0" fillId="0" fontId="4" numFmtId="0" xfId="0" applyAlignment="1" applyFont="1">
      <alignment horizontal="right" readingOrder="0" shrinkToFit="0" vertical="center" wrapText="1"/>
    </xf>
    <xf borderId="1" fillId="4" fontId="4" numFmtId="10" xfId="0" applyAlignment="1" applyBorder="1" applyFont="1" applyNumberFormat="1">
      <alignment horizontal="center" vertical="center"/>
    </xf>
    <xf borderId="0" fillId="8" fontId="2" numFmtId="0" xfId="0" applyAlignment="1" applyFill="1" applyFont="1">
      <alignment readingOrder="0"/>
    </xf>
    <xf borderId="0" fillId="8" fontId="1" numFmtId="0" xfId="0" applyFont="1"/>
    <xf borderId="0" fillId="8" fontId="1" numFmtId="0" xfId="0" applyAlignment="1" applyFont="1">
      <alignment shrinkToFit="0" wrapText="1"/>
    </xf>
    <xf borderId="0" fillId="9" fontId="2" numFmtId="0" xfId="0" applyAlignment="1" applyFill="1" applyFont="1">
      <alignment readingOrder="0"/>
    </xf>
    <xf borderId="0" fillId="9" fontId="1" numFmtId="0" xfId="0" applyAlignment="1" applyFont="1">
      <alignment readingOrder="0"/>
    </xf>
    <xf borderId="0" fillId="9" fontId="5" numFmtId="0" xfId="0" applyFont="1"/>
    <xf borderId="0" fillId="9" fontId="5" numFmtId="0" xfId="0" applyAlignment="1" applyFont="1">
      <alignment shrinkToFit="0" wrapText="1"/>
    </xf>
    <xf borderId="0" fillId="9" fontId="1" numFmtId="0" xfId="0" applyFont="1"/>
    <xf borderId="0" fillId="5" fontId="1" numFmtId="0" xfId="0" applyFont="1"/>
    <xf borderId="0" fillId="5" fontId="1" numFmtId="0" xfId="0" applyAlignment="1" applyFont="1">
      <alignment readingOrder="0"/>
    </xf>
    <xf borderId="0" fillId="5" fontId="1" numFmtId="0" xfId="0" applyAlignment="1" applyFont="1">
      <alignment readingOrder="0" shrinkToFit="0" wrapText="1"/>
    </xf>
    <xf borderId="0" fillId="9" fontId="1" numFmtId="0" xfId="0" applyAlignment="1" applyFont="1">
      <alignment readingOrder="0" shrinkToFit="0" wrapText="1"/>
    </xf>
    <xf borderId="0" fillId="10" fontId="1" numFmtId="0" xfId="0" applyFill="1" applyFont="1"/>
    <xf borderId="0" fillId="10" fontId="1" numFmtId="0" xfId="0" applyAlignment="1" applyFont="1">
      <alignment shrinkToFit="0" wrapText="1"/>
    </xf>
    <xf borderId="0" fillId="0" fontId="2" numFmtId="0" xfId="0" applyAlignment="1" applyFont="1">
      <alignment readingOrder="0" vertical="center"/>
    </xf>
    <xf borderId="0" fillId="3" fontId="2" numFmtId="0" xfId="0" applyAlignment="1" applyFont="1">
      <alignment horizontal="center" readingOrder="0" textRotation="90" vertical="bottom"/>
    </xf>
    <xf borderId="0" fillId="11" fontId="2" numFmtId="0" xfId="0" applyAlignment="1" applyFill="1" applyFont="1">
      <alignment horizontal="center" readingOrder="0" textRotation="90" vertical="bottom"/>
    </xf>
    <xf borderId="0" fillId="0" fontId="5" numFmtId="0" xfId="0" applyAlignment="1" applyFont="1">
      <alignment vertical="center"/>
    </xf>
    <xf borderId="0" fillId="3" fontId="2" numFmtId="0" xfId="0" applyAlignment="1" applyFont="1">
      <alignment readingOrder="0" vertical="bottom"/>
    </xf>
    <xf borderId="0" fillId="3" fontId="2" numFmtId="0" xfId="0" applyAlignment="1" applyFont="1">
      <alignment readingOrder="0" shrinkToFit="0" vertical="bottom" wrapText="1"/>
    </xf>
    <xf borderId="0" fillId="11" fontId="2" numFmtId="165" xfId="0" applyAlignment="1" applyFont="1" applyNumberFormat="1">
      <alignment readingOrder="0" vertical="bottom"/>
    </xf>
    <xf borderId="0" fillId="3" fontId="2" numFmtId="0" xfId="0" applyAlignment="1" applyFont="1">
      <alignment readingOrder="0"/>
    </xf>
    <xf borderId="0" fillId="2" fontId="2" numFmtId="4" xfId="0" applyAlignment="1" applyFont="1" applyNumberFormat="1">
      <alignment readingOrder="0"/>
    </xf>
    <xf borderId="0" fillId="3" fontId="2" numFmtId="9" xfId="0" applyAlignment="1" applyFont="1" applyNumberFormat="1">
      <alignment readingOrder="0"/>
    </xf>
    <xf borderId="0" fillId="11" fontId="2" numFmtId="165" xfId="0" applyAlignment="1" applyFont="1" applyNumberFormat="1">
      <alignment readingOrder="0"/>
    </xf>
    <xf borderId="0" fillId="2" fontId="1" numFmtId="165" xfId="0" applyAlignment="1" applyFont="1" applyNumberFormat="1">
      <alignment readingOrder="0"/>
    </xf>
    <xf borderId="0" fillId="5" fontId="1" numFmtId="9" xfId="0" applyAlignment="1" applyFont="1" applyNumberFormat="1">
      <alignment readingOrder="0"/>
    </xf>
    <xf borderId="0" fillId="11" fontId="1" numFmtId="165" xfId="0" applyAlignment="1" applyFont="1" applyNumberFormat="1">
      <alignment readingOrder="0"/>
    </xf>
    <xf borderId="0" fillId="0" fontId="1" numFmtId="9" xfId="0" applyAlignment="1" applyFont="1" applyNumberFormat="1">
      <alignment readingOrder="0"/>
    </xf>
    <xf borderId="0" fillId="2" fontId="2" numFmtId="9" xfId="0" applyAlignment="1" applyFont="1" applyNumberFormat="1">
      <alignment readingOrder="0"/>
    </xf>
    <xf borderId="0" fillId="3" fontId="2" numFmtId="165" xfId="0" applyAlignment="1" applyFont="1" applyNumberFormat="1">
      <alignment readingOrder="0"/>
    </xf>
    <xf borderId="0" fillId="11" fontId="2" numFmtId="0" xfId="0" applyAlignment="1" applyFont="1">
      <alignment readingOrder="0"/>
    </xf>
    <xf borderId="0" fillId="11" fontId="1" numFmtId="0" xfId="0" applyFont="1"/>
    <xf borderId="0" fillId="11" fontId="5" numFmtId="0" xfId="0" applyAlignment="1" applyFont="1">
      <alignment readingOrder="0"/>
    </xf>
    <xf borderId="0" fillId="11" fontId="5" numFmtId="2" xfId="0" applyFont="1" applyNumberFormat="1"/>
    <xf borderId="0" fillId="11" fontId="2" numFmtId="9" xfId="0" applyAlignment="1" applyFont="1" applyNumberFormat="1">
      <alignment readingOrder="0"/>
    </xf>
    <xf borderId="0" fillId="0" fontId="2" numFmtId="0" xfId="0" applyAlignment="1" applyFont="1">
      <alignment readingOrder="0"/>
    </xf>
    <xf borderId="0" fillId="0" fontId="4" numFmtId="0" xfId="0" applyAlignment="1" applyFont="1">
      <alignment readingOrder="0"/>
    </xf>
    <xf borderId="0" fillId="2" fontId="5" numFmtId="2" xfId="0" applyFont="1" applyNumberFormat="1"/>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5" numFmtId="0" xfId="0" applyAlignment="1" applyFont="1">
      <alignment shrinkToFit="0" vertical="center" wrapText="0"/>
    </xf>
    <xf borderId="0" fillId="3" fontId="2" numFmtId="0" xfId="0" applyAlignment="1" applyFont="1">
      <alignment readingOrder="0" shrinkToFit="0" vertical="center" wrapText="0"/>
    </xf>
    <xf borderId="0" fillId="3" fontId="2" numFmtId="0" xfId="0" applyAlignment="1" applyFont="1">
      <alignment readingOrder="0" shrinkToFit="0" vertical="center" wrapText="0"/>
    </xf>
    <xf borderId="0" fillId="2" fontId="2" numFmtId="0" xfId="0" applyAlignment="1" applyFont="1">
      <alignment readingOrder="0" shrinkToFit="0" vertical="center" wrapText="0"/>
    </xf>
    <xf borderId="0" fillId="2" fontId="2" numFmtId="165" xfId="0" applyAlignment="1" applyFont="1" applyNumberFormat="1">
      <alignment readingOrder="0" shrinkToFit="0" vertical="center" wrapText="0"/>
    </xf>
    <xf borderId="0" fillId="2" fontId="2" numFmtId="9" xfId="0" applyAlignment="1" applyFont="1" applyNumberFormat="1">
      <alignment readingOrder="0" shrinkToFit="0" vertical="center" wrapText="0"/>
    </xf>
    <xf borderId="0" fillId="3" fontId="1" numFmtId="0" xfId="0" applyAlignment="1" applyFont="1">
      <alignment readingOrder="0" shrinkToFit="0" vertical="center" wrapText="1"/>
    </xf>
    <xf borderId="0" fillId="2" fontId="1" numFmtId="0" xfId="0" applyAlignment="1" applyFont="1">
      <alignment readingOrder="0" shrinkToFit="0" vertical="center" wrapText="0"/>
    </xf>
    <xf borderId="0" fillId="2" fontId="1" numFmtId="165" xfId="0" applyAlignment="1" applyFont="1" applyNumberFormat="1">
      <alignment readingOrder="0" shrinkToFit="0" vertical="center" wrapText="0"/>
    </xf>
    <xf borderId="0" fillId="2" fontId="1" numFmtId="9" xfId="0" applyAlignment="1" applyFont="1" applyNumberFormat="1">
      <alignment readingOrder="0" shrinkToFit="0" vertical="center" wrapText="0"/>
    </xf>
    <xf borderId="0" fillId="5" fontId="1" numFmtId="165" xfId="0" applyAlignment="1" applyFont="1" applyNumberFormat="1">
      <alignment readingOrder="0" shrinkToFit="0" vertical="center" wrapText="1"/>
    </xf>
    <xf borderId="0" fillId="0" fontId="1" numFmtId="165" xfId="0" applyAlignment="1" applyFont="1" applyNumberFormat="1">
      <alignment readingOrder="0" shrinkToFit="0" vertical="center" wrapText="1"/>
    </xf>
    <xf borderId="0" fillId="3" fontId="1" numFmtId="0" xfId="0" applyAlignment="1" applyFont="1">
      <alignment shrinkToFit="0" vertical="center" wrapText="1"/>
    </xf>
    <xf borderId="0" fillId="2" fontId="1" numFmtId="0" xfId="0" applyAlignment="1" applyFon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readingOrder="0" shrinkToFit="0" vertical="center" wrapText="0"/>
    </xf>
    <xf borderId="0" fillId="2" fontId="2" numFmtId="0" xfId="0" applyAlignment="1" applyFont="1">
      <alignment readingOrder="0" shrinkToFit="0" vertical="center" wrapText="0"/>
    </xf>
    <xf borderId="0" fillId="2" fontId="2" numFmtId="0" xfId="0" applyAlignment="1" applyFont="1">
      <alignment readingOrder="0" shrinkToFit="0" vertical="center" wrapText="0"/>
    </xf>
    <xf borderId="0" fillId="2" fontId="2" numFmtId="0" xfId="0" applyAlignment="1" applyFont="1">
      <alignment readingOrder="0" shrinkToFit="0" vertical="center" wrapText="0"/>
    </xf>
    <xf borderId="0" fillId="0" fontId="5" numFmtId="0" xfId="0" applyAlignment="1" applyFont="1">
      <alignment shrinkToFit="0" wrapText="1"/>
    </xf>
    <xf borderId="0" fillId="5" fontId="6" numFmtId="0" xfId="0" applyAlignment="1" applyFont="1">
      <alignment readingOrder="0" shrinkToFit="0" vertical="center" wrapText="1"/>
    </xf>
    <xf borderId="0" fillId="12" fontId="7" numFmtId="0" xfId="0" applyAlignment="1" applyFill="1" applyFont="1">
      <alignment horizontal="center" readingOrder="0" shrinkToFit="0" vertical="top" wrapText="1"/>
    </xf>
    <xf borderId="0" fillId="13" fontId="8" numFmtId="0" xfId="0" applyAlignment="1" applyFill="1" applyFont="1">
      <alignment horizontal="left" readingOrder="0"/>
    </xf>
    <xf borderId="0" fillId="13" fontId="8" numFmtId="0" xfId="0" applyAlignment="1" applyFont="1">
      <alignment horizontal="center" readingOrder="0"/>
    </xf>
    <xf borderId="0" fillId="14" fontId="9" numFmtId="0" xfId="0" applyAlignment="1" applyFill="1" applyFont="1">
      <alignment horizontal="center" readingOrder="0"/>
    </xf>
    <xf borderId="0" fillId="15" fontId="8" numFmtId="0" xfId="0" applyAlignment="1" applyFill="1" applyFont="1">
      <alignment horizontal="left" readingOrder="0"/>
    </xf>
    <xf borderId="0" fillId="15" fontId="8" numFmtId="0" xfId="0" applyAlignment="1" applyFont="1">
      <alignment horizontal="center" readingOrder="0"/>
    </xf>
    <xf borderId="0" fillId="12" fontId="7" numFmtId="0" xfId="0" applyAlignment="1" applyFont="1">
      <alignment horizontal="left" readingOrder="0" shrinkToFit="0" vertical="top" wrapText="1"/>
    </xf>
    <xf borderId="0" fillId="0" fontId="5" numFmtId="0" xfId="0" applyAlignment="1" applyFont="1">
      <alignment readingOrder="0" shrinkToFit="0" vertical="center" wrapText="1"/>
    </xf>
    <xf borderId="0" fillId="0" fontId="5" numFmtId="0" xfId="0" applyAlignment="1" applyFont="1">
      <alignment readingOrder="0" shrinkToFit="0" vertical="top" wrapText="1"/>
    </xf>
    <xf borderId="0" fillId="0" fontId="10" numFmtId="0" xfId="0" applyAlignment="1" applyFont="1">
      <alignment readingOrder="0" shrinkToFit="0" vertical="top" wrapText="1"/>
    </xf>
    <xf borderId="0" fillId="0" fontId="5" numFmtId="0" xfId="0" applyAlignment="1" applyFont="1">
      <alignment readingOrder="0"/>
    </xf>
    <xf borderId="0" fillId="16" fontId="10" numFmtId="0" xfId="0" applyAlignment="1" applyFill="1" applyFont="1">
      <alignment readingOrder="0" vertical="center"/>
    </xf>
    <xf borderId="0" fillId="0" fontId="5" numFmtId="0" xfId="0" applyAlignment="1" applyFont="1">
      <alignment shrinkToFit="0" vertical="top" wrapText="1"/>
    </xf>
    <xf borderId="0" fillId="0" fontId="10" numFmtId="0" xfId="0" applyAlignment="1" applyFont="1">
      <alignment readingOrder="0"/>
    </xf>
    <xf borderId="0" fillId="4" fontId="10" numFmtId="0" xfId="0" applyAlignment="1" applyFont="1">
      <alignment readingOrder="0" shrinkToFit="0" vertical="center" wrapText="1"/>
    </xf>
    <xf borderId="0" fillId="17" fontId="5" numFmtId="0" xfId="0" applyAlignment="1" applyFill="1" applyFont="1">
      <alignment readingOrder="0" shrinkToFit="0" vertical="top" wrapText="1"/>
    </xf>
    <xf borderId="0" fillId="18" fontId="5" numFmtId="0" xfId="0" applyAlignment="1" applyFill="1" applyFont="1">
      <alignment readingOrder="0" shrinkToFit="0" vertical="top" wrapText="1"/>
    </xf>
    <xf borderId="0" fillId="17" fontId="5" numFmtId="0" xfId="0" applyAlignment="1" applyFont="1">
      <alignment horizontal="center" readingOrder="0" shrinkToFit="0" vertical="top" wrapText="1"/>
    </xf>
    <xf borderId="0" fillId="18" fontId="5" numFmtId="0" xfId="0" applyAlignment="1" applyFont="1">
      <alignment horizontal="center" readingOrder="0" shrinkToFit="0" vertical="top" wrapText="1"/>
    </xf>
    <xf borderId="0" fillId="0" fontId="11" numFmtId="0" xfId="0" applyAlignment="1" applyFont="1">
      <alignment horizontal="left" readingOrder="0"/>
    </xf>
    <xf borderId="0" fillId="0" fontId="12" numFmtId="0" xfId="0" applyAlignment="1" applyFont="1">
      <alignment readingOrder="0"/>
    </xf>
    <xf borderId="0" fillId="0" fontId="13" numFmtId="0" xfId="0" applyAlignment="1" applyFont="1">
      <alignment readingOrder="0"/>
    </xf>
    <xf borderId="0" fillId="6" fontId="14" numFmtId="0" xfId="0" applyAlignment="1" applyFont="1">
      <alignment readingOrder="0" shrinkToFit="0" vertical="top" wrapText="1"/>
    </xf>
    <xf borderId="0" fillId="6" fontId="5" numFmtId="0" xfId="0" applyFont="1"/>
    <xf borderId="0" fillId="0" fontId="15" numFmtId="0" xfId="0" applyAlignment="1" applyFont="1">
      <alignment readingOrder="0" shrinkToFit="0" vertical="top" wrapText="1"/>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horizontal="center" readingOrder="0" shrinkToFit="0" vertical="center" wrapText="1"/>
    </xf>
  </cellXfs>
  <cellStyles count="1">
    <cellStyle xfId="0" name="Normal" builtinId="0"/>
  </cellStyles>
  <dxfs count="10">
    <dxf>
      <font/>
      <fill>
        <patternFill patternType="solid">
          <fgColor rgb="FFB7E1CD"/>
          <bgColor rgb="FFB7E1CD"/>
        </patternFill>
      </fill>
      <border/>
    </dxf>
    <dxf>
      <font/>
      <fill>
        <patternFill patternType="solid">
          <fgColor rgb="FF9FC5E8"/>
          <bgColor rgb="FF9FC5E8"/>
        </patternFill>
      </fill>
      <border/>
    </dxf>
    <dxf>
      <font/>
      <fill>
        <patternFill patternType="solid">
          <fgColor rgb="FFB4A7D6"/>
          <bgColor rgb="FFB4A7D6"/>
        </patternFill>
      </fill>
      <border/>
    </dxf>
    <dxf>
      <font/>
      <fill>
        <patternFill patternType="solid">
          <fgColor rgb="FFE06666"/>
          <bgColor rgb="FFE06666"/>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2">
    <tableStyle count="2" pivot="0" name="weights_editor-style">
      <tableStyleElement dxfId="6" type="firstRowStripe"/>
      <tableStyleElement dxfId="7" type="secondRowStripe"/>
    </tableStyle>
    <tableStyle count="4" pivot="0" name="raw_weights-style">
      <tableStyleElement dxfId="8" type="headerRow"/>
      <tableStyleElement dxfId="6" type="firstRowStripe"/>
      <tableStyleElement dxfId="7" type="secondRowStripe"/>
      <tableStyleElement dxfId="9"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1133475</xdr:colOff>
      <xdr:row>95</xdr:row>
      <xdr:rowOff>190500</xdr:rowOff>
    </xdr:from>
    <xdr:ext cx="6638925" cy="4381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T90" displayName="Table_1" name="Table_1" id="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weights_editor-style" showColumnStripes="0" showFirstColumn="1" showLastColumn="1" showRowStripes="1"/>
</table>
</file>

<file path=xl/tables/table2.xml><?xml version="1.0" encoding="utf-8"?>
<table xmlns="http://schemas.openxmlformats.org/spreadsheetml/2006/main" ref="A1:I499" displayName="weights" name="weights" id="2">
  <tableColumns count="9">
    <tableColumn name="key" id="1"/>
    <tableColumn name="Order" id="2"/>
    <tableColumn name="Level" id="3"/>
    <tableColumn name="Section" id="4"/>
    <tableColumn name="Subsection" id="5"/>
    <tableColumn name="Criteria" id="6"/>
    <tableColumn name="Role model Rating" id="7"/>
    <tableColumn name="Weights" id="8"/>
    <tableColumn name="Description" id="9"/>
  </tableColumns>
  <tableStyleInfo name="raw_weigh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2"/>
  <cols>
    <col customWidth="1" min="1" max="1" width="30.0"/>
    <col customWidth="1" min="2" max="2" width="41.0"/>
    <col collapsed="1" customWidth="1" min="3" max="3" width="44.0"/>
    <col customWidth="1" hidden="1" min="4" max="4" width="74.0" outlineLevel="1"/>
    <col customWidth="1" min="5" max="5" width="40.63"/>
    <col customWidth="1" min="6" max="6" width="7.5"/>
    <col customWidth="1" min="7" max="7" width="15.0"/>
    <col customWidth="1" min="8" max="8" width="23.13"/>
    <col customWidth="1" min="9" max="9" width="10.0"/>
  </cols>
  <sheetData>
    <row r="1">
      <c r="A1" s="1" t="s">
        <v>0</v>
      </c>
      <c r="B1" s="2"/>
      <c r="C1" s="2"/>
      <c r="D1" s="3"/>
      <c r="E1" s="2"/>
      <c r="F1" s="2"/>
      <c r="G1" s="2"/>
      <c r="H1" s="2"/>
      <c r="I1" s="2"/>
      <c r="J1" s="2"/>
      <c r="K1" s="2"/>
      <c r="L1" s="2"/>
      <c r="M1" s="2"/>
      <c r="N1" s="2"/>
      <c r="O1" s="2"/>
      <c r="P1" s="2"/>
      <c r="Q1" s="2"/>
      <c r="R1" s="2"/>
      <c r="S1" s="2"/>
      <c r="T1" s="2"/>
      <c r="U1" s="2"/>
      <c r="V1" s="2"/>
      <c r="W1" s="2"/>
      <c r="X1" s="2"/>
      <c r="Y1" s="2"/>
      <c r="Z1" s="2"/>
      <c r="AA1" s="2"/>
    </row>
    <row r="2">
      <c r="A2" s="2"/>
      <c r="B2" s="2"/>
      <c r="C2" s="2"/>
      <c r="D2" s="3"/>
      <c r="F2" s="2"/>
      <c r="G2" s="2"/>
      <c r="H2" s="2"/>
      <c r="I2" s="2"/>
      <c r="J2" s="2"/>
      <c r="K2" s="2"/>
      <c r="L2" s="2"/>
      <c r="M2" s="2"/>
      <c r="N2" s="2"/>
      <c r="O2" s="2"/>
      <c r="P2" s="2"/>
      <c r="Q2" s="2"/>
      <c r="R2" s="2"/>
      <c r="S2" s="2"/>
      <c r="T2" s="2"/>
      <c r="U2" s="2"/>
      <c r="V2" s="2"/>
      <c r="W2" s="2"/>
      <c r="X2" s="2"/>
      <c r="Y2" s="2"/>
      <c r="Z2" s="2"/>
      <c r="AA2" s="2"/>
    </row>
    <row r="3">
      <c r="A3" s="1" t="s">
        <v>1</v>
      </c>
      <c r="B3" s="2"/>
      <c r="F3" s="1"/>
      <c r="G3" s="1" t="s">
        <v>2</v>
      </c>
      <c r="H3" s="2"/>
      <c r="I3" s="1" t="s">
        <v>3</v>
      </c>
      <c r="J3" s="2"/>
      <c r="K3" s="2"/>
      <c r="L3" s="2"/>
      <c r="M3" s="2"/>
      <c r="N3" s="2"/>
      <c r="O3" s="2"/>
      <c r="P3" s="2"/>
      <c r="Q3" s="2"/>
      <c r="R3" s="2"/>
      <c r="S3" s="2"/>
      <c r="T3" s="2"/>
      <c r="U3" s="2"/>
      <c r="V3" s="2"/>
      <c r="W3" s="2"/>
      <c r="X3" s="2"/>
      <c r="Y3" s="2"/>
      <c r="Z3" s="2"/>
      <c r="AA3" s="2"/>
    </row>
    <row r="4">
      <c r="A4" s="1" t="s">
        <v>4</v>
      </c>
      <c r="B4" s="1" t="s">
        <v>5</v>
      </c>
      <c r="C4" s="2"/>
      <c r="D4" s="3"/>
      <c r="E4" s="1"/>
      <c r="F4" s="2"/>
      <c r="G4" s="2"/>
      <c r="H4" s="2"/>
      <c r="I4" s="1" t="s">
        <v>6</v>
      </c>
      <c r="J4" s="4"/>
      <c r="K4" s="1"/>
      <c r="L4" s="2"/>
      <c r="M4" s="2"/>
      <c r="N4" s="2"/>
      <c r="O4" s="2"/>
      <c r="P4" s="2"/>
      <c r="Q4" s="2"/>
      <c r="R4" s="2"/>
      <c r="S4" s="2"/>
      <c r="T4" s="2"/>
      <c r="U4" s="2"/>
      <c r="V4" s="2"/>
      <c r="W4" s="2"/>
      <c r="X4" s="2"/>
      <c r="Y4" s="2"/>
      <c r="Z4" s="2"/>
      <c r="AA4" s="2"/>
    </row>
    <row r="5">
      <c r="A5" s="2"/>
      <c r="B5" s="2"/>
      <c r="C5" s="2"/>
      <c r="D5" s="3"/>
      <c r="E5" s="2"/>
      <c r="F5" s="2"/>
      <c r="G5" s="2"/>
      <c r="H5" s="2"/>
      <c r="I5" s="2"/>
      <c r="J5" s="2"/>
      <c r="K5" s="2"/>
      <c r="L5" s="2"/>
      <c r="M5" s="2"/>
      <c r="N5" s="2"/>
      <c r="O5" s="2"/>
      <c r="P5" s="2"/>
      <c r="Q5" s="2"/>
      <c r="R5" s="2"/>
      <c r="S5" s="2"/>
      <c r="T5" s="2"/>
      <c r="U5" s="2"/>
      <c r="V5" s="2"/>
      <c r="W5" s="2"/>
      <c r="X5" s="2"/>
      <c r="Y5" s="2"/>
      <c r="Z5" s="2"/>
      <c r="AA5" s="2"/>
    </row>
    <row r="6">
      <c r="A6" s="1" t="s">
        <v>7</v>
      </c>
      <c r="B6" s="1" t="s">
        <v>8</v>
      </c>
      <c r="C6" s="1" t="s">
        <v>9</v>
      </c>
      <c r="D6" s="5" t="s">
        <v>10</v>
      </c>
      <c r="E6" s="1" t="s">
        <v>11</v>
      </c>
      <c r="F6" s="5" t="s">
        <v>12</v>
      </c>
      <c r="G6" s="1" t="s">
        <v>13</v>
      </c>
      <c r="H6" s="1" t="s">
        <v>14</v>
      </c>
      <c r="I6" s="1" t="s">
        <v>15</v>
      </c>
      <c r="J6" s="2"/>
      <c r="K6" s="2"/>
      <c r="L6" s="2"/>
      <c r="M6" s="2"/>
      <c r="N6" s="2"/>
      <c r="O6" s="2"/>
      <c r="P6" s="2"/>
      <c r="Q6" s="2"/>
      <c r="R6" s="2"/>
      <c r="S6" s="2"/>
      <c r="T6" s="2"/>
      <c r="U6" s="2"/>
      <c r="V6" s="2"/>
      <c r="W6" s="2"/>
      <c r="X6" s="2"/>
      <c r="Y6" s="2"/>
      <c r="Z6" s="2"/>
      <c r="AA6" s="2"/>
    </row>
    <row r="7">
      <c r="A7" s="6" t="str">
        <f>weights_editor!A3</f>
        <v>ENGINEERING CRAFT</v>
      </c>
      <c r="B7" s="7"/>
      <c r="C7" s="7"/>
      <c r="D7" s="8"/>
      <c r="E7" s="9">
        <f>(E8*G8+E13*G13+E19*G19+E24*G24+E30*G30+E37*G37)</f>
        <v>1.505</v>
      </c>
      <c r="F7" s="10">
        <f>VLOOKUP(TRIM($B$4&amp;$A$7&amp;B7&amp;C7),raw_weights!A:H,7,false)
</f>
        <v>2.5345</v>
      </c>
      <c r="G7" s="11">
        <f>VLOOKUP(TRIM($B$4&amp;$A$7&amp;B7&amp;C7),raw_weights!A:H,8,false)
</f>
        <v>0.6</v>
      </c>
      <c r="H7" s="2"/>
      <c r="I7" s="2"/>
      <c r="J7" s="2"/>
      <c r="K7" s="2"/>
      <c r="L7" s="2"/>
      <c r="M7" s="2"/>
      <c r="N7" s="2"/>
      <c r="O7" s="2"/>
      <c r="P7" s="2"/>
      <c r="Q7" s="2"/>
      <c r="R7" s="2"/>
      <c r="S7" s="2"/>
      <c r="T7" s="2"/>
      <c r="U7" s="2"/>
      <c r="V7" s="2"/>
      <c r="W7" s="2"/>
      <c r="X7" s="2"/>
      <c r="Y7" s="2"/>
      <c r="Z7" s="2"/>
      <c r="AA7" s="2"/>
    </row>
    <row r="8" outlineLevel="1">
      <c r="A8" s="12"/>
      <c r="B8" s="13" t="str">
        <f>weights_editor!B4</f>
        <v>Writing Code</v>
      </c>
      <c r="C8" s="14"/>
      <c r="D8" s="15" t="str">
        <f>VLOOKUP(TRIM($B$4&amp;$A$7&amp;B8&amp;C8),raw_weights!A:I,9,false)
</f>
        <v>The ability to contribute high quality code to production environments.
Is able to consistently write production-ready code across large, complex projects.</v>
      </c>
      <c r="E8" s="16">
        <f>E9*G9+E10*G10+E11*G11+E12*G12</f>
        <v>1</v>
      </c>
      <c r="F8" s="16">
        <f>VLOOKUP(TRIM($B$4&amp;$A$7&amp;B8&amp;C8),raw_weights!A:H,7,false)
</f>
        <v>2.51</v>
      </c>
      <c r="G8" s="17">
        <f>VLOOKUP(TRIM($B$4&amp;$A$7&amp;B8&amp;C8),raw_weights!A:H,8,false)
</f>
        <v>0.35</v>
      </c>
      <c r="H8" s="2"/>
      <c r="I8" s="2"/>
      <c r="J8" s="2"/>
      <c r="K8" s="2"/>
      <c r="L8" s="2"/>
      <c r="M8" s="2"/>
      <c r="N8" s="2"/>
      <c r="O8" s="2"/>
      <c r="P8" s="2"/>
      <c r="Q8" s="2"/>
      <c r="R8" s="2"/>
      <c r="S8" s="2"/>
      <c r="T8" s="2"/>
      <c r="U8" s="2"/>
      <c r="V8" s="2"/>
      <c r="W8" s="2"/>
      <c r="X8" s="2"/>
      <c r="Y8" s="2"/>
      <c r="Z8" s="2"/>
      <c r="AA8" s="2"/>
    </row>
    <row r="9" outlineLevel="2">
      <c r="A9" s="18"/>
      <c r="B9" s="19"/>
      <c r="C9" s="13" t="str">
        <f>weights_editor!C5</f>
        <v>Quality</v>
      </c>
      <c r="D9" s="20" t="str">
        <f>VLOOKUP(TRIM($B$4&amp;$A$7&amp;$B$8&amp;C9),raw_weights!A:I,9,false)
</f>
        <v>You're regularly trusted to lead complex and business-critical coding projects, including guiding others.</v>
      </c>
      <c r="E9" s="21">
        <v>1.0</v>
      </c>
      <c r="F9" s="16">
        <f>VLOOKUP(TRIM($B$4&amp;$A$7&amp;$B$8&amp;C9),raw_weights!A:H,7,false)
</f>
        <v>2.6</v>
      </c>
      <c r="G9" s="17">
        <f>VLOOKUP(TRIM($B$4&amp;$A$7&amp;$B$8&amp;C9),raw_weights!A:H,8,false)
</f>
        <v>0.4</v>
      </c>
      <c r="H9" s="2"/>
      <c r="I9" s="2"/>
      <c r="J9" s="2"/>
      <c r="K9" s="2"/>
      <c r="L9" s="2"/>
      <c r="M9" s="2"/>
      <c r="N9" s="2"/>
      <c r="O9" s="2"/>
      <c r="P9" s="2"/>
      <c r="Q9" s="2"/>
      <c r="R9" s="2"/>
      <c r="S9" s="2"/>
      <c r="T9" s="2"/>
      <c r="U9" s="2"/>
      <c r="V9" s="2"/>
      <c r="W9" s="2"/>
      <c r="X9" s="2"/>
      <c r="Y9" s="2"/>
      <c r="Z9" s="2"/>
      <c r="AA9" s="2"/>
    </row>
    <row r="10" outlineLevel="2">
      <c r="A10" s="18"/>
      <c r="B10" s="19"/>
      <c r="C10" s="13" t="str">
        <f>weights_editor!C6</f>
        <v>Documentation</v>
      </c>
      <c r="D10" s="20" t="str">
        <f>VLOOKUP(TRIM($B$4&amp;$A$7&amp;$B$8&amp;C10),raw_weights!A:I,9,false)
</f>
        <v>Your code is consistently self-documenting where possible.
You've regularly maintained, improved and extended existing documentation unprompted.</v>
      </c>
      <c r="E10" s="21">
        <v>1.0</v>
      </c>
      <c r="F10" s="16">
        <f>VLOOKUP(TRIM($B$4&amp;$A$7&amp;$B$8&amp;C10),raw_weights!A:H,7,false)
</f>
        <v>2.4</v>
      </c>
      <c r="G10" s="17">
        <f>VLOOKUP(TRIM($B$4&amp;$A$7&amp;$B$8&amp;C10),raw_weights!A:H,8,false)
</f>
        <v>0.2</v>
      </c>
      <c r="H10" s="2"/>
      <c r="I10" s="2"/>
      <c r="J10" s="2"/>
      <c r="K10" s="2"/>
      <c r="L10" s="2"/>
      <c r="M10" s="2"/>
      <c r="N10" s="2"/>
      <c r="O10" s="2"/>
      <c r="P10" s="2"/>
      <c r="Q10" s="2"/>
      <c r="R10" s="2"/>
      <c r="S10" s="2"/>
      <c r="T10" s="2"/>
      <c r="U10" s="2"/>
      <c r="V10" s="2"/>
      <c r="W10" s="2"/>
      <c r="X10" s="2"/>
      <c r="Y10" s="2"/>
      <c r="Z10" s="2"/>
      <c r="AA10" s="2"/>
    </row>
    <row r="11" outlineLevel="2">
      <c r="A11" s="18"/>
      <c r="B11" s="19"/>
      <c r="C11" s="13" t="str">
        <f>weights_editor!C7</f>
        <v>Language</v>
      </c>
      <c r="D11" s="20" t="str">
        <f>VLOOKUP(TRIM($B$4&amp;$A$7&amp;$B$8&amp;C11),raw_weights!A:I,9,false)
</f>
        <v>You're committing quality code in any language your team needs OR you're best in class at one language.</v>
      </c>
      <c r="E11" s="21">
        <v>1.0</v>
      </c>
      <c r="F11" s="16">
        <f>VLOOKUP(TRIM($B$4&amp;$A$7&amp;$B$8&amp;C11),raw_weights!A:H,7,false)
</f>
        <v>2.8</v>
      </c>
      <c r="G11" s="17">
        <f>VLOOKUP(TRIM($B$4&amp;$A$7&amp;$B$8&amp;C11),raw_weights!A:H,8,false)
</f>
        <v>0.3</v>
      </c>
      <c r="H11" s="2"/>
      <c r="I11" s="2"/>
      <c r="J11" s="2"/>
      <c r="K11" s="2"/>
      <c r="L11" s="2"/>
      <c r="M11" s="2"/>
      <c r="N11" s="2"/>
      <c r="O11" s="2"/>
      <c r="P11" s="2"/>
      <c r="Q11" s="2"/>
      <c r="R11" s="2"/>
      <c r="S11" s="2"/>
      <c r="T11" s="2"/>
      <c r="U11" s="2"/>
      <c r="V11" s="2"/>
      <c r="W11" s="2"/>
      <c r="X11" s="2"/>
      <c r="Y11" s="2"/>
      <c r="Z11" s="2"/>
      <c r="AA11" s="2"/>
    </row>
    <row r="12" outlineLevel="2">
      <c r="A12" s="18"/>
      <c r="B12" s="19"/>
      <c r="C12" s="13" t="str">
        <f>weights_editor!C8</f>
        <v>Mentoring</v>
      </c>
      <c r="D12" s="20" t="str">
        <f>VLOOKUP(TRIM($B$4&amp;$A$7&amp;$B$8&amp;C12),raw_weights!A:I,9,false)
</f>
        <v>You have mentored several junior engineers around code quality.</v>
      </c>
      <c r="E12" s="21">
        <v>1.0</v>
      </c>
      <c r="F12" s="16">
        <f>VLOOKUP(TRIM($B$4&amp;$A$7&amp;$B$8&amp;C12),raw_weights!A:H,7,false)
</f>
        <v>1.5</v>
      </c>
      <c r="G12" s="17">
        <f>VLOOKUP(TRIM($B$4&amp;$A$7&amp;$B$8&amp;C12),raw_weights!A:H,8,false)
</f>
        <v>0.1</v>
      </c>
      <c r="H12" s="2"/>
      <c r="I12" s="2"/>
      <c r="J12" s="2"/>
      <c r="K12" s="2"/>
      <c r="L12" s="2"/>
      <c r="M12" s="2"/>
      <c r="N12" s="2"/>
      <c r="O12" s="2"/>
      <c r="P12" s="2"/>
      <c r="Q12" s="2"/>
      <c r="R12" s="2"/>
      <c r="S12" s="2"/>
      <c r="T12" s="2"/>
      <c r="U12" s="2"/>
      <c r="V12" s="2"/>
      <c r="W12" s="2"/>
      <c r="X12" s="2"/>
      <c r="Y12" s="2"/>
      <c r="Z12" s="2"/>
      <c r="AA12" s="2"/>
    </row>
    <row r="13" outlineLevel="1">
      <c r="A13" s="12"/>
      <c r="B13" s="13" t="str">
        <f>weights_editor!B9</f>
        <v>Testing</v>
      </c>
      <c r="C13" s="14"/>
      <c r="D13" s="15" t="str">
        <f>VLOOKUP(TRIM($B$4&amp;$A$7&amp;B13&amp;C13),raw_weights!A:I,9,false)
</f>
        <v>The ability to understand and implement great testing practices.
Independently testing, advising the rest of the team on quality of tests.</v>
      </c>
      <c r="E13" s="16">
        <f>E14*G14+E15*G15+E16*G16+E17*G17+E18*G18</f>
        <v>1</v>
      </c>
      <c r="F13" s="16">
        <f>VLOOKUP(TRIM($B$4&amp;$A$7&amp;B13&amp;C13),raw_weights!A:H,7,false)
</f>
        <v>2.92</v>
      </c>
      <c r="G13" s="17">
        <f>VLOOKUP(TRIM($B$4&amp;$A$7&amp;B13&amp;C13),raw_weights!A:H,8,false)
</f>
        <v>0.15</v>
      </c>
      <c r="H13" s="2"/>
      <c r="I13" s="2"/>
      <c r="J13" s="2"/>
      <c r="K13" s="2"/>
      <c r="L13" s="2"/>
      <c r="M13" s="2"/>
      <c r="N13" s="2"/>
      <c r="O13" s="2"/>
      <c r="P13" s="2"/>
      <c r="Q13" s="2"/>
      <c r="R13" s="2"/>
      <c r="S13" s="2"/>
      <c r="T13" s="2"/>
      <c r="U13" s="2"/>
      <c r="V13" s="2"/>
      <c r="W13" s="2"/>
      <c r="X13" s="2"/>
      <c r="Y13" s="2"/>
      <c r="Z13" s="2"/>
      <c r="AA13" s="2"/>
    </row>
    <row r="14" outlineLevel="2">
      <c r="A14" s="18"/>
      <c r="B14" s="19"/>
      <c r="C14" s="13" t="str">
        <f>weights_editor!C10</f>
        <v>Testing your code</v>
      </c>
      <c r="D14" s="20" t="str">
        <f>VLOOKUP(TRIM($B$4&amp;$A$7&amp;$B$13&amp;C14),raw_weights!A:I,9,false)
</f>
        <v>You always write full tests for your code unassisted, covering all edge cases even with complex functionality.</v>
      </c>
      <c r="E14" s="21">
        <v>1.0</v>
      </c>
      <c r="F14" s="16">
        <f>VLOOKUP(TRIM($B$4&amp;$A$7&amp;$B$13&amp;C14),raw_weights!A:H,7,false)
</f>
        <v>3.2</v>
      </c>
      <c r="G14" s="17">
        <f>VLOOKUP(TRIM($B$4&amp;$A$7&amp;$B$13&amp;C14),raw_weights!A:H,8,false)
</f>
        <v>0.5</v>
      </c>
      <c r="H14" s="2"/>
      <c r="I14" s="2"/>
      <c r="J14" s="2"/>
      <c r="K14" s="2"/>
      <c r="L14" s="2"/>
      <c r="M14" s="2"/>
      <c r="N14" s="2"/>
      <c r="O14" s="2"/>
      <c r="P14" s="2"/>
      <c r="Q14" s="2"/>
      <c r="R14" s="2"/>
      <c r="S14" s="2"/>
      <c r="T14" s="2"/>
      <c r="U14" s="2"/>
      <c r="V14" s="2"/>
      <c r="W14" s="2"/>
      <c r="X14" s="2"/>
      <c r="Y14" s="2"/>
      <c r="Z14" s="2"/>
      <c r="AA14" s="2"/>
    </row>
    <row r="15" outlineLevel="2">
      <c r="A15" s="18"/>
      <c r="B15" s="19"/>
      <c r="C15" s="13" t="str">
        <f>weights_editor!C11</f>
        <v>Improving coverage</v>
      </c>
      <c r="D15" s="20" t="str">
        <f>VLOOKUP(TRIM($B$4&amp;$A$7&amp;$B$13&amp;C15),raw_weights!A:I,9,false)
</f>
        <v>You've worked to improve the quality of your own and your team's test coverage.</v>
      </c>
      <c r="E15" s="21">
        <v>1.0</v>
      </c>
      <c r="F15" s="16">
        <f>VLOOKUP(TRIM($B$4&amp;$A$7&amp;$B$13&amp;C15),raw_weights!A:H,7,false)
</f>
        <v>2.8</v>
      </c>
      <c r="G15" s="17">
        <f>VLOOKUP(TRIM($B$4&amp;$A$7&amp;$B$13&amp;C15),raw_weights!A:H,8,false)
</f>
        <v>0.3</v>
      </c>
      <c r="H15" s="2"/>
      <c r="I15" s="2"/>
      <c r="J15" s="2"/>
      <c r="K15" s="2"/>
      <c r="L15" s="2"/>
      <c r="M15" s="2"/>
      <c r="N15" s="2"/>
      <c r="O15" s="2"/>
      <c r="P15" s="2"/>
      <c r="Q15" s="2"/>
      <c r="R15" s="2"/>
      <c r="S15" s="2"/>
      <c r="T15" s="2"/>
      <c r="U15" s="2"/>
      <c r="V15" s="2"/>
      <c r="W15" s="2"/>
      <c r="X15" s="2"/>
      <c r="Y15" s="2"/>
      <c r="Z15" s="2"/>
      <c r="AA15" s="2"/>
    </row>
    <row r="16" outlineLevel="2">
      <c r="A16" s="18"/>
      <c r="B16" s="19"/>
      <c r="C16" s="13" t="str">
        <f>weights_editor!C12</f>
        <v>Taking responsibility</v>
      </c>
      <c r="D16" s="20" t="str">
        <f>VLOOKUP(TRIM($B$4&amp;$A$7&amp;$B$13&amp;C16),raw_weights!A:I,9,false)
</f>
        <v>You consistently look for and can recall quality metrics to demonstrate your test coverage, and monitor in behalf of your team.</v>
      </c>
      <c r="E16" s="21">
        <v>1.0</v>
      </c>
      <c r="F16" s="16">
        <f>VLOOKUP(TRIM($B$4&amp;$A$7&amp;$B$13&amp;C16),raw_weights!A:H,7,false)
</f>
        <v>2.4</v>
      </c>
      <c r="G16" s="17">
        <f>VLOOKUP(TRIM($B$4&amp;$A$7&amp;$B$13&amp;C16),raw_weights!A:H,8,false)
</f>
        <v>0.2</v>
      </c>
      <c r="H16" s="2"/>
      <c r="I16" s="2"/>
      <c r="J16" s="2"/>
      <c r="K16" s="2"/>
      <c r="L16" s="2"/>
      <c r="M16" s="2"/>
      <c r="N16" s="2"/>
      <c r="O16" s="2"/>
      <c r="P16" s="2"/>
      <c r="Q16" s="2"/>
      <c r="R16" s="2"/>
      <c r="S16" s="2"/>
      <c r="T16" s="2"/>
      <c r="U16" s="2"/>
      <c r="V16" s="2"/>
      <c r="W16" s="2"/>
      <c r="X16" s="2"/>
      <c r="Y16" s="2"/>
      <c r="Z16" s="2"/>
      <c r="AA16" s="2"/>
    </row>
    <row r="17" outlineLevel="2">
      <c r="A17" s="18"/>
      <c r="B17" s="19"/>
      <c r="C17" s="13" t="str">
        <f>weights_editor!C13</f>
        <v>Leading testing strategy</v>
      </c>
      <c r="D17" s="20" t="str">
        <f>VLOOKUP(TRIM($B$4&amp;$A$7&amp;$B$13&amp;C17),raw_weights!A:I,9,false)
</f>
        <v>N/A</v>
      </c>
      <c r="E17" s="21">
        <v>0.0</v>
      </c>
      <c r="F17" s="16">
        <f>VLOOKUP(TRIM($B$4&amp;$A$7&amp;$B$13&amp;C17),raw_weights!A:H,7,false)
</f>
        <v>1</v>
      </c>
      <c r="G17" s="17">
        <f>VLOOKUP(TRIM($B$4&amp;$A$7&amp;$B$13&amp;C17),raw_weights!A:H,8,false)
</f>
        <v>0</v>
      </c>
      <c r="H17" s="2"/>
      <c r="I17" s="2"/>
      <c r="J17" s="2"/>
      <c r="K17" s="2"/>
      <c r="L17" s="2"/>
      <c r="M17" s="2"/>
      <c r="N17" s="2"/>
      <c r="O17" s="2"/>
      <c r="P17" s="2"/>
      <c r="Q17" s="2"/>
      <c r="R17" s="2"/>
      <c r="S17" s="2"/>
      <c r="T17" s="2"/>
      <c r="U17" s="2"/>
      <c r="V17" s="2"/>
      <c r="W17" s="2"/>
      <c r="X17" s="2"/>
      <c r="Y17" s="2"/>
      <c r="Z17" s="2"/>
      <c r="AA17" s="2"/>
    </row>
    <row r="18" outlineLevel="2">
      <c r="A18" s="18"/>
      <c r="B18" s="19"/>
      <c r="C18" s="13" t="str">
        <f>weights_editor!C14</f>
        <v>Advocating for testing</v>
      </c>
      <c r="D18" s="20" t="str">
        <f>VLOOKUP(TRIM($B$4&amp;$A$7&amp;$B$13&amp;C18),raw_weights!A:I,9,false)
</f>
        <v>N/A</v>
      </c>
      <c r="E18" s="21">
        <v>0.0</v>
      </c>
      <c r="F18" s="16">
        <f>VLOOKUP(TRIM($B$4&amp;$A$7&amp;$B$13&amp;C18),raw_weights!A:H,7,false)
</f>
        <v>1</v>
      </c>
      <c r="G18" s="17">
        <f>VLOOKUP(TRIM($B$4&amp;$A$7&amp;$B$13&amp;C18),raw_weights!A:H,8,false)
</f>
        <v>0</v>
      </c>
      <c r="H18" s="2"/>
      <c r="I18" s="2"/>
      <c r="J18" s="2"/>
      <c r="K18" s="2"/>
      <c r="L18" s="2"/>
      <c r="M18" s="2"/>
      <c r="N18" s="2"/>
      <c r="O18" s="2"/>
      <c r="P18" s="2"/>
      <c r="Q18" s="2"/>
      <c r="R18" s="2"/>
      <c r="S18" s="2"/>
      <c r="T18" s="2"/>
      <c r="U18" s="2"/>
      <c r="V18" s="2"/>
      <c r="W18" s="2"/>
      <c r="X18" s="2"/>
      <c r="Y18" s="2"/>
      <c r="Z18" s="2"/>
      <c r="AA18" s="2"/>
    </row>
    <row r="19" outlineLevel="1">
      <c r="A19" s="12"/>
      <c r="B19" s="13" t="str">
        <f>weights_editor!B15</f>
        <v>Technical Understanding &amp; Prioritisation</v>
      </c>
      <c r="C19" s="14"/>
      <c r="D19" s="15" t="str">
        <f>VLOOKUP(TRIM($B$4&amp;$A$7&amp;B19&amp;C19),raw_weights!A:I,9,false)
</f>
        <v>The ability to develop technical understanding and use this to prioritise tasks appropriately.
Is a technical and prioritisation leader within the team, including taking some ownership of other team members' technical growth and development.</v>
      </c>
      <c r="E19" s="16">
        <f>E20*G20+E21*G21+E22*G22+E23*G23</f>
        <v>1.6</v>
      </c>
      <c r="F19" s="16">
        <f>VLOOKUP(TRIM($B$4&amp;$A$7&amp;B19&amp;C19),raw_weights!A:H,7,false)
</f>
        <v>2.46</v>
      </c>
      <c r="G19" s="17">
        <f>VLOOKUP(TRIM($B$4&amp;$A$7&amp;B19&amp;C19),raw_weights!A:H,8,false)
</f>
        <v>0.15</v>
      </c>
      <c r="H19" s="2"/>
      <c r="I19" s="2"/>
      <c r="J19" s="2"/>
      <c r="K19" s="2"/>
      <c r="L19" s="2"/>
      <c r="M19" s="2"/>
      <c r="N19" s="2"/>
      <c r="O19" s="2"/>
      <c r="P19" s="2"/>
      <c r="Q19" s="2"/>
      <c r="R19" s="2"/>
      <c r="S19" s="2"/>
      <c r="T19" s="2"/>
      <c r="U19" s="2"/>
      <c r="V19" s="2"/>
      <c r="W19" s="2"/>
      <c r="X19" s="2"/>
      <c r="Y19" s="2"/>
      <c r="Z19" s="2"/>
      <c r="AA19" s="2"/>
    </row>
    <row r="20" outlineLevel="2">
      <c r="A20" s="18"/>
      <c r="B20" s="19"/>
      <c r="C20" s="13" t="str">
        <f>weights_editor!C16</f>
        <v>Understanding code</v>
      </c>
      <c r="D20" s="20" t="str">
        <f>VLOOKUP(TRIM($B$4&amp;$A$7&amp;$B$19&amp;C20),raw_weights!A:I,9,false)
</f>
        <v>You understand your team's domain at a high level, including the breadth of services, how they interact, and data flows between systems.
You understand adjacent domains as they affect your team.</v>
      </c>
      <c r="E20" s="21">
        <v>2.0</v>
      </c>
      <c r="F20" s="16">
        <f>VLOOKUP(TRIM($B$4&amp;$A$7&amp;$B$19&amp;C20),raw_weights!A:H,7,false)
</f>
        <v>2.2</v>
      </c>
      <c r="G20" s="17">
        <f>VLOOKUP(TRIM($B$4&amp;$A$7&amp;$B$19&amp;C20),raw_weights!A:H,8,false)
</f>
        <v>0.55</v>
      </c>
      <c r="H20" s="2"/>
      <c r="I20" s="2"/>
      <c r="J20" s="2"/>
      <c r="K20" s="2"/>
      <c r="L20" s="2"/>
      <c r="M20" s="2"/>
      <c r="N20" s="2"/>
      <c r="O20" s="2"/>
      <c r="P20" s="2"/>
      <c r="Q20" s="2"/>
      <c r="R20" s="2"/>
      <c r="S20" s="2"/>
      <c r="T20" s="2"/>
      <c r="U20" s="2"/>
      <c r="V20" s="2"/>
      <c r="W20" s="2"/>
      <c r="X20" s="2"/>
      <c r="Y20" s="2"/>
      <c r="Z20" s="2"/>
      <c r="AA20" s="2"/>
    </row>
    <row r="21" outlineLevel="2">
      <c r="A21" s="18"/>
      <c r="B21" s="19"/>
      <c r="C21" s="13" t="str">
        <f>weights_editor!C17</f>
        <v>Technical collaboration</v>
      </c>
      <c r="D21" s="20" t="str">
        <f>VLOOKUP(TRIM($B$4&amp;$A$7&amp;$B$19&amp;C21),raw_weights!A:I,9,false)
</f>
        <v>You actively facilitate technical discussions between team members and have a deep familiarity with technical topics under discussion</v>
      </c>
      <c r="E21" s="21">
        <v>1.0</v>
      </c>
      <c r="F21" s="16">
        <f>VLOOKUP(TRIM($B$4&amp;$A$7&amp;$B$19&amp;C21),raw_weights!A:H,7,false)
</f>
        <v>2.6</v>
      </c>
      <c r="G21" s="17">
        <f>VLOOKUP(TRIM($B$4&amp;$A$7&amp;$B$19&amp;C21),raw_weights!A:H,8,false)
</f>
        <v>0.25</v>
      </c>
      <c r="H21" s="2"/>
      <c r="I21" s="2"/>
      <c r="J21" s="2"/>
      <c r="K21" s="2"/>
      <c r="L21" s="2"/>
      <c r="M21" s="2"/>
      <c r="N21" s="2"/>
      <c r="O21" s="2"/>
      <c r="P21" s="2"/>
      <c r="Q21" s="2"/>
      <c r="R21" s="2"/>
      <c r="S21" s="2"/>
      <c r="T21" s="2"/>
      <c r="U21" s="2"/>
      <c r="V21" s="2"/>
      <c r="W21" s="2"/>
      <c r="X21" s="2"/>
      <c r="Y21" s="2"/>
      <c r="Z21" s="2"/>
      <c r="AA21" s="2"/>
    </row>
    <row r="22" outlineLevel="2">
      <c r="A22" s="18"/>
      <c r="B22" s="19"/>
      <c r="C22" s="13" t="str">
        <f>weights_editor!C18</f>
        <v>Work breakdown</v>
      </c>
      <c r="D22" s="20" t="str">
        <f>VLOOKUP(TRIM($B$4&amp;$A$7&amp;$B$19&amp;C22),raw_weights!A:I,9,false)
</f>
        <v>You review projects critically, ensuring they are appropriately delineated and understood by the team.</v>
      </c>
      <c r="E22" s="21">
        <v>1.0</v>
      </c>
      <c r="F22" s="16">
        <f>VLOOKUP(TRIM($B$4&amp;$A$7&amp;$B$19&amp;C22),raw_weights!A:H,7,false)
</f>
        <v>2.4</v>
      </c>
      <c r="G22" s="17">
        <f>VLOOKUP(TRIM($B$4&amp;$A$7&amp;$B$19&amp;C22),raw_weights!A:H,8,false)
</f>
        <v>0.15</v>
      </c>
      <c r="H22" s="2"/>
      <c r="I22" s="2"/>
      <c r="J22" s="2"/>
      <c r="K22" s="2"/>
      <c r="L22" s="2"/>
      <c r="M22" s="2"/>
      <c r="N22" s="2"/>
      <c r="O22" s="2"/>
      <c r="P22" s="2"/>
      <c r="Q22" s="2"/>
      <c r="R22" s="2"/>
      <c r="S22" s="2"/>
      <c r="T22" s="2"/>
      <c r="U22" s="2"/>
      <c r="V22" s="2"/>
      <c r="W22" s="2"/>
      <c r="X22" s="2"/>
      <c r="Y22" s="2"/>
      <c r="Z22" s="2"/>
      <c r="AA22" s="2"/>
    </row>
    <row r="23" outlineLevel="2">
      <c r="A23" s="18"/>
      <c r="B23" s="19"/>
      <c r="C23" s="13" t="str">
        <f>weights_editor!C19</f>
        <v>Task prioritisation</v>
      </c>
      <c r="D23" s="20" t="str">
        <f>VLOOKUP(TRIM($B$4&amp;$A$7&amp;$B$19&amp;C23),raw_weights!A:I,9,false)
</f>
        <v>You ensure tasks are prioritised correctly, and that dependencies are noted and well understood by the team, including at the epic level.
You foster a culture of priority setting and highlight the importance of alignment with organizational strategy</v>
      </c>
      <c r="E23" s="21">
        <v>1.0</v>
      </c>
      <c r="F23" s="16">
        <f>VLOOKUP(TRIM($B$4&amp;$A$7&amp;$B$19&amp;C23),raw_weights!A:H,7,false)
</f>
        <v>2.4</v>
      </c>
      <c r="G23" s="17">
        <f>VLOOKUP(TRIM($B$4&amp;$A$7&amp;$B$19&amp;C23),raw_weights!A:H,8,false)
</f>
        <v>0.1</v>
      </c>
      <c r="H23" s="2"/>
      <c r="I23" s="2"/>
      <c r="J23" s="2"/>
      <c r="K23" s="2"/>
      <c r="L23" s="2"/>
      <c r="M23" s="2"/>
      <c r="N23" s="2"/>
      <c r="O23" s="2"/>
      <c r="P23" s="2"/>
      <c r="Q23" s="2"/>
      <c r="R23" s="2"/>
      <c r="S23" s="2"/>
      <c r="T23" s="2"/>
      <c r="U23" s="2"/>
      <c r="V23" s="2"/>
      <c r="W23" s="2"/>
      <c r="X23" s="2"/>
      <c r="Y23" s="2"/>
      <c r="Z23" s="2"/>
      <c r="AA23" s="2"/>
    </row>
    <row r="24" outlineLevel="1">
      <c r="A24" s="12"/>
      <c r="B24" s="13" t="str">
        <f>weights_editor!B20</f>
        <v>Software Architecture</v>
      </c>
      <c r="C24" s="14"/>
      <c r="D24" s="15" t="str">
        <f>VLOOKUP(TRIM($B$4&amp;$A$7&amp;B24&amp;C24),raw_weights!A:I,9,false)
</f>
        <v>The ability to interact and engage with architectural approaches of the organization.
Is able to consistently design code that is aligned with the overall service architecture.</v>
      </c>
      <c r="E24" s="16">
        <f>E25*G25+E26*G26+E27*G27+E28*G28+E29*G29</f>
        <v>2.1</v>
      </c>
      <c r="F24" s="16">
        <f>VLOOKUP(TRIM($B$4&amp;$A$7&amp;B24&amp;C24),raw_weights!A:H,7,false)
</f>
        <v>2.17</v>
      </c>
      <c r="G24" s="17">
        <f>VLOOKUP(TRIM($B$4&amp;$A$7&amp;B24&amp;C24),raw_weights!A:H,8,false)
</f>
        <v>0.15</v>
      </c>
      <c r="H24" s="2"/>
      <c r="I24" s="2"/>
      <c r="J24" s="2"/>
      <c r="K24" s="2"/>
      <c r="L24" s="2"/>
      <c r="M24" s="2"/>
      <c r="N24" s="2"/>
      <c r="O24" s="2"/>
      <c r="P24" s="2"/>
      <c r="Q24" s="2"/>
      <c r="R24" s="2"/>
      <c r="S24" s="2"/>
      <c r="T24" s="2"/>
      <c r="U24" s="2"/>
      <c r="V24" s="2"/>
      <c r="W24" s="2"/>
      <c r="X24" s="2"/>
      <c r="Y24" s="2"/>
      <c r="Z24" s="2"/>
      <c r="AA24" s="2"/>
    </row>
    <row r="25" outlineLevel="2">
      <c r="A25" s="18"/>
      <c r="B25" s="19"/>
      <c r="C25" s="13" t="str">
        <f>weights_editor!C21</f>
        <v>Reaction to feedback</v>
      </c>
      <c r="D25" s="20" t="str">
        <f>VLOOKUP(TRIM($B$4&amp;$A$7&amp;$B$24&amp;C25),raw_weights!A:I,9,false)
</f>
        <v>N/A</v>
      </c>
      <c r="E25" s="21">
        <v>4.0</v>
      </c>
      <c r="F25" s="16">
        <f>VLOOKUP(TRIM($B$4&amp;$A$7&amp;$B$24&amp;C25),raw_weights!A:H,7,false)
</f>
        <v>3</v>
      </c>
      <c r="G25" s="17">
        <f>VLOOKUP(TRIM($B$4&amp;$A$7&amp;$B$24&amp;C25),raw_weights!A:H,8,false)
</f>
        <v>0.2</v>
      </c>
      <c r="H25" s="2"/>
      <c r="I25" s="2"/>
      <c r="J25" s="2"/>
      <c r="K25" s="2"/>
      <c r="L25" s="2"/>
      <c r="M25" s="2"/>
      <c r="N25" s="2"/>
      <c r="O25" s="2"/>
      <c r="P25" s="2"/>
      <c r="Q25" s="2"/>
      <c r="R25" s="2"/>
      <c r="S25" s="2"/>
      <c r="T25" s="2"/>
      <c r="U25" s="2"/>
      <c r="V25" s="2"/>
      <c r="W25" s="2"/>
      <c r="X25" s="2"/>
      <c r="Y25" s="2"/>
      <c r="Z25" s="2"/>
      <c r="AA25" s="2"/>
    </row>
    <row r="26" outlineLevel="2">
      <c r="A26" s="18"/>
      <c r="B26" s="19"/>
      <c r="C26" s="13" t="str">
        <f>weights_editor!C22</f>
        <v>Code</v>
      </c>
      <c r="D26" s="20" t="str">
        <f>VLOOKUP(TRIM($B$4&amp;$A$7&amp;$B$24&amp;C26),raw_weights!A:I,9,false)
</f>
        <v>You are able to utilize abstractions and code isolation effectively.</v>
      </c>
      <c r="E26" s="21">
        <v>2.0</v>
      </c>
      <c r="F26" s="16">
        <f>VLOOKUP(TRIM($B$4&amp;$A$7&amp;$B$24&amp;C26),raw_weights!A:H,7,false)
</f>
        <v>2.6</v>
      </c>
      <c r="G26" s="17">
        <f>VLOOKUP(TRIM($B$4&amp;$A$7&amp;$B$24&amp;C26),raw_weights!A:H,8,false)
</f>
        <v>0.2</v>
      </c>
      <c r="H26" s="2"/>
      <c r="I26" s="2"/>
      <c r="J26" s="2"/>
      <c r="K26" s="2"/>
      <c r="L26" s="2"/>
      <c r="M26" s="2"/>
      <c r="N26" s="2"/>
      <c r="O26" s="2"/>
      <c r="P26" s="2"/>
      <c r="Q26" s="2"/>
      <c r="R26" s="2"/>
      <c r="S26" s="2"/>
      <c r="T26" s="2"/>
      <c r="U26" s="2"/>
      <c r="V26" s="2"/>
      <c r="W26" s="2"/>
      <c r="X26" s="2"/>
      <c r="Y26" s="2"/>
      <c r="Z26" s="2"/>
      <c r="AA26" s="2"/>
    </row>
    <row r="27" outlineLevel="2">
      <c r="A27" s="18"/>
      <c r="B27" s="19"/>
      <c r="C27" s="13" t="str">
        <f>weights_editor!C23</f>
        <v>Design</v>
      </c>
      <c r="D27" s="20" t="str">
        <f>VLOOKUP(TRIM($B$4&amp;$A$7&amp;$B$24&amp;C27),raw_weights!A:I,9,false)
</f>
        <v>You have deep architectural and design pattern experience.
You consult with team members only on more difficult designs.
You set up new projects to ensure architectural success by anticipating future use cases and making design decisions that minimize the cost of future changes</v>
      </c>
      <c r="E27" s="21">
        <v>1.0</v>
      </c>
      <c r="F27" s="16">
        <f>VLOOKUP(TRIM($B$4&amp;$A$7&amp;$B$24&amp;C27),raw_weights!A:H,7,false)
</f>
        <v>1.5</v>
      </c>
      <c r="G27" s="17">
        <f>VLOOKUP(TRIM($B$4&amp;$A$7&amp;$B$24&amp;C27),raw_weights!A:H,8,false)
</f>
        <v>0.3</v>
      </c>
      <c r="H27" s="2"/>
      <c r="I27" s="2"/>
      <c r="J27" s="2"/>
      <c r="K27" s="2"/>
      <c r="L27" s="2"/>
      <c r="M27" s="2"/>
      <c r="N27" s="2"/>
      <c r="O27" s="2"/>
      <c r="P27" s="2"/>
      <c r="Q27" s="2"/>
      <c r="R27" s="2"/>
      <c r="S27" s="2"/>
      <c r="T27" s="2"/>
      <c r="U27" s="2"/>
      <c r="V27" s="2"/>
      <c r="W27" s="2"/>
      <c r="X27" s="2"/>
      <c r="Y27" s="2"/>
      <c r="Z27" s="2"/>
      <c r="AA27" s="2"/>
    </row>
    <row r="28" outlineLevel="2">
      <c r="A28" s="18"/>
      <c r="B28" s="19"/>
      <c r="C28" s="13" t="str">
        <f>weights_editor!C24</f>
        <v>Development</v>
      </c>
      <c r="D28" s="20" t="str">
        <f>VLOOKUP(TRIM($B$4&amp;$A$7&amp;$B$24&amp;C28),raw_weights!A:I,9,false)
</f>
        <v>N/A</v>
      </c>
      <c r="E28" s="21">
        <v>2.0</v>
      </c>
      <c r="F28" s="16">
        <f>VLOOKUP(TRIM($B$4&amp;$A$7&amp;$B$24&amp;C28),raw_weights!A:H,7,false)
</f>
        <v>2</v>
      </c>
      <c r="G28" s="17">
        <f>VLOOKUP(TRIM($B$4&amp;$A$7&amp;$B$24&amp;C28),raw_weights!A:H,8,false)
</f>
        <v>0.3</v>
      </c>
      <c r="H28" s="2"/>
      <c r="I28" s="2"/>
      <c r="J28" s="2"/>
      <c r="K28" s="2"/>
      <c r="L28" s="2"/>
      <c r="M28" s="2"/>
      <c r="N28" s="2"/>
      <c r="O28" s="2"/>
      <c r="P28" s="2"/>
      <c r="Q28" s="2"/>
      <c r="R28" s="2"/>
      <c r="S28" s="2"/>
      <c r="T28" s="2"/>
      <c r="U28" s="2"/>
      <c r="V28" s="2"/>
      <c r="W28" s="2"/>
      <c r="X28" s="2"/>
      <c r="Y28" s="2"/>
      <c r="Z28" s="2"/>
      <c r="AA28" s="2"/>
    </row>
    <row r="29" outlineLevel="2">
      <c r="A29" s="18"/>
      <c r="B29" s="19"/>
      <c r="C29" s="13" t="str">
        <f>weights_editor!C25</f>
        <v>Technical debt</v>
      </c>
      <c r="D29" s="20" t="str">
        <f>VLOOKUP(TRIM($B$4&amp;$A$7&amp;$B$24&amp;C29),raw_weights!A:I,9,false)
</f>
        <v>You make plans with technical debt in mind, and how you will pay it down incrementally and consistently.
You advise other team members on recognising and considering it</v>
      </c>
      <c r="E29" s="21">
        <v>2.0</v>
      </c>
      <c r="F29" s="16">
        <f>VLOOKUP(TRIM($B$4&amp;$A$7&amp;$B$24&amp;C29),raw_weights!A:H,7,false)
</f>
        <v>2.1</v>
      </c>
      <c r="G29" s="17">
        <f>VLOOKUP(TRIM($B$4&amp;$A$7&amp;$B$24&amp;C29),raw_weights!A:H,8,false)
</f>
        <v>0</v>
      </c>
      <c r="H29" s="2"/>
      <c r="I29" s="2"/>
      <c r="J29" s="2"/>
      <c r="K29" s="2"/>
      <c r="L29" s="2"/>
      <c r="M29" s="2"/>
      <c r="N29" s="2"/>
      <c r="O29" s="2"/>
      <c r="P29" s="2"/>
      <c r="Q29" s="2"/>
      <c r="R29" s="2"/>
      <c r="S29" s="2"/>
      <c r="T29" s="2"/>
      <c r="U29" s="2"/>
      <c r="V29" s="2"/>
      <c r="W29" s="2"/>
      <c r="X29" s="2"/>
      <c r="Y29" s="2"/>
      <c r="Z29" s="2"/>
      <c r="AA29" s="2"/>
    </row>
    <row r="30" outlineLevel="1">
      <c r="A30" s="12"/>
      <c r="B30" s="13" t="str">
        <f>weights_editor!B26</f>
        <v>Security</v>
      </c>
      <c r="C30" s="14"/>
      <c r="D30" s="15" t="str">
        <f>VLOOKUP(TRIM($B$4&amp;$A$7&amp;B30&amp;C30),raw_weights!A:I,9,false)
</f>
        <v>The ability to understand and apply security principles, handle user data appropriately and report security concerns.
Consistently approaches all engineering work with a security lens.</v>
      </c>
      <c r="E30" s="16">
        <f>E31*G31+E32*G32+E33*G33+E34*G34+E35*G35+E36*G36</f>
        <v>2.9</v>
      </c>
      <c r="F30" s="16">
        <f>VLOOKUP(TRIM($B$4&amp;$A$7&amp;B30&amp;C30),raw_weights!A:H,7,false)
</f>
        <v>2.71</v>
      </c>
      <c r="G30" s="17">
        <f>VLOOKUP(TRIM($B$4&amp;$A$7&amp;B30&amp;C30),raw_weights!A:H,8,false)
</f>
        <v>0.1</v>
      </c>
      <c r="H30" s="2"/>
      <c r="I30" s="2"/>
      <c r="J30" s="2"/>
      <c r="K30" s="2"/>
      <c r="L30" s="2"/>
      <c r="M30" s="2"/>
      <c r="N30" s="2"/>
      <c r="O30" s="2"/>
      <c r="P30" s="2"/>
      <c r="Q30" s="2"/>
      <c r="R30" s="2"/>
      <c r="S30" s="2"/>
      <c r="T30" s="2"/>
      <c r="U30" s="2"/>
      <c r="V30" s="2"/>
      <c r="W30" s="2"/>
      <c r="X30" s="2"/>
      <c r="Y30" s="2"/>
      <c r="Z30" s="2"/>
      <c r="AA30" s="2"/>
    </row>
    <row r="31" outlineLevel="2">
      <c r="A31" s="18"/>
      <c r="B31" s="19"/>
      <c r="C31" s="13" t="str">
        <f>weights_editor!C27</f>
        <v>Knowledge</v>
      </c>
      <c r="D31" s="20" t="str">
        <f>VLOOKUP(TRIM($B$4&amp;$A$7&amp;$B$30&amp;C31),raw_weights!A:I,9,false)
</f>
        <v>You have an excellent understanding of security principles and you work to better facilitate the team's understanding.</v>
      </c>
      <c r="E31" s="21">
        <v>4.0</v>
      </c>
      <c r="F31" s="16">
        <f>VLOOKUP(TRIM($B$4&amp;$A$7&amp;$B$30&amp;C31),raw_weights!A:H,7,false)
</f>
        <v>2.8</v>
      </c>
      <c r="G31" s="17">
        <f>VLOOKUP(TRIM($B$4&amp;$A$7&amp;$B$30&amp;C31),raw_weights!A:H,8,false)
</f>
        <v>0.3</v>
      </c>
      <c r="H31" s="2"/>
      <c r="I31" s="2"/>
      <c r="J31" s="2"/>
      <c r="K31" s="2"/>
      <c r="L31" s="2"/>
      <c r="M31" s="2"/>
      <c r="N31" s="2"/>
      <c r="O31" s="2"/>
      <c r="P31" s="2"/>
      <c r="Q31" s="2"/>
      <c r="R31" s="2"/>
      <c r="S31" s="2"/>
      <c r="T31" s="2"/>
      <c r="U31" s="2"/>
      <c r="V31" s="2"/>
      <c r="W31" s="2"/>
      <c r="X31" s="2"/>
      <c r="Y31" s="2"/>
      <c r="Z31" s="2"/>
      <c r="AA31" s="2"/>
    </row>
    <row r="32" outlineLevel="2">
      <c r="A32" s="18"/>
      <c r="B32" s="19"/>
      <c r="C32" s="13" t="str">
        <f>weights_editor!C28</f>
        <v>User data</v>
      </c>
      <c r="D32" s="20" t="str">
        <f>VLOOKUP(TRIM($B$4&amp;$A$7&amp;$B$30&amp;C32),raw_weights!A:I,9,false)
</f>
        <v>You have faultless handling of user data, and set an example for others within the team.</v>
      </c>
      <c r="E32" s="21">
        <v>3.0</v>
      </c>
      <c r="F32" s="16">
        <f>VLOOKUP(TRIM($B$4&amp;$A$7&amp;$B$30&amp;C32),raw_weights!A:H,7,false)
</f>
        <v>3.1</v>
      </c>
      <c r="G32" s="17">
        <f>VLOOKUP(TRIM($B$4&amp;$A$7&amp;$B$30&amp;C32),raw_weights!A:H,8,false)
</f>
        <v>0.3</v>
      </c>
      <c r="H32" s="2"/>
      <c r="I32" s="2"/>
      <c r="J32" s="2"/>
      <c r="K32" s="2"/>
      <c r="L32" s="2"/>
      <c r="M32" s="2"/>
      <c r="N32" s="2"/>
      <c r="O32" s="2"/>
      <c r="P32" s="2"/>
      <c r="Q32" s="2"/>
      <c r="R32" s="2"/>
      <c r="S32" s="2"/>
      <c r="T32" s="2"/>
      <c r="U32" s="2"/>
      <c r="V32" s="2"/>
      <c r="W32" s="2"/>
      <c r="X32" s="2"/>
      <c r="Y32" s="2"/>
      <c r="Z32" s="2"/>
      <c r="AA32" s="2"/>
    </row>
    <row r="33" outlineLevel="2">
      <c r="A33" s="18"/>
      <c r="B33" s="19"/>
      <c r="C33" s="13" t="str">
        <f>weights_editor!C29</f>
        <v>Reporting</v>
      </c>
      <c r="D33" s="20" t="str">
        <f>VLOOKUP(TRIM($B$4&amp;$A$7&amp;$B$30&amp;C33),raw_weights!A:I,9,false)
</f>
        <v>N/A</v>
      </c>
      <c r="E33" s="21">
        <v>2.0</v>
      </c>
      <c r="F33" s="16">
        <f>VLOOKUP(TRIM($B$4&amp;$A$7&amp;$B$30&amp;C33),raw_weights!A:H,7,false)
</f>
        <v>2.6</v>
      </c>
      <c r="G33" s="17">
        <f>VLOOKUP(TRIM($B$4&amp;$A$7&amp;$B$30&amp;C33),raw_weights!A:H,8,false)
</f>
        <v>0.2</v>
      </c>
      <c r="H33" s="2"/>
      <c r="I33" s="2"/>
      <c r="J33" s="2"/>
      <c r="K33" s="2"/>
      <c r="L33" s="2"/>
      <c r="M33" s="2"/>
      <c r="N33" s="2"/>
      <c r="O33" s="2"/>
      <c r="P33" s="2"/>
      <c r="Q33" s="2"/>
      <c r="R33" s="2"/>
      <c r="S33" s="2"/>
      <c r="T33" s="2"/>
      <c r="U33" s="2"/>
      <c r="V33" s="2"/>
      <c r="W33" s="2"/>
      <c r="X33" s="2"/>
      <c r="Y33" s="2"/>
      <c r="Z33" s="2"/>
      <c r="AA33" s="2"/>
    </row>
    <row r="34" outlineLevel="2">
      <c r="A34" s="18"/>
      <c r="B34" s="19"/>
      <c r="C34" s="13" t="str">
        <f>weights_editor!C30</f>
        <v>Proactivity</v>
      </c>
      <c r="D34" s="20" t="str">
        <f>VLOOKUP(TRIM($B$4&amp;$A$7&amp;$B$30&amp;C34),raw_weights!A:I,9,false)
</f>
        <v>You actively look for security vulnerabilities both in the code and when providing peer reviews.</v>
      </c>
      <c r="E34" s="21">
        <v>2.0</v>
      </c>
      <c r="F34" s="16">
        <f>VLOOKUP(TRIM($B$4&amp;$A$7&amp;$B$30&amp;C34),raw_weights!A:H,7,false)
</f>
        <v>2.1</v>
      </c>
      <c r="G34" s="17">
        <f>VLOOKUP(TRIM($B$4&amp;$A$7&amp;$B$30&amp;C34),raw_weights!A:H,8,false)
</f>
        <v>0.2</v>
      </c>
      <c r="H34" s="2"/>
      <c r="I34" s="2"/>
      <c r="J34" s="2"/>
      <c r="K34" s="2"/>
      <c r="L34" s="2"/>
      <c r="M34" s="2"/>
      <c r="N34" s="2"/>
      <c r="O34" s="2"/>
      <c r="P34" s="2"/>
      <c r="Q34" s="2"/>
      <c r="R34" s="2"/>
      <c r="S34" s="2"/>
      <c r="T34" s="2"/>
      <c r="U34" s="2"/>
      <c r="V34" s="2"/>
      <c r="W34" s="2"/>
      <c r="X34" s="2"/>
      <c r="Y34" s="2"/>
      <c r="Z34" s="2"/>
      <c r="AA34" s="2"/>
    </row>
    <row r="35" outlineLevel="2">
      <c r="A35" s="18"/>
      <c r="B35" s="19"/>
      <c r="C35" s="13" t="str">
        <f>weights_editor!C31</f>
        <v>Collaboration</v>
      </c>
      <c r="D35" s="20" t="str">
        <f>VLOOKUP(TRIM($B$4&amp;$A$7&amp;$B$30&amp;C35),raw_weights!A:I,9,false)
</f>
        <v>You work with the security teams to help refine technical strategy.</v>
      </c>
      <c r="E35" s="21">
        <v>1.0</v>
      </c>
      <c r="F35" s="16">
        <f>VLOOKUP(TRIM($B$4&amp;$A$7&amp;$B$30&amp;C35),raw_weights!A:H,7,false)
</f>
        <v>2.4</v>
      </c>
      <c r="G35" s="17">
        <f>VLOOKUP(TRIM($B$4&amp;$A$7&amp;$B$30&amp;C35),raw_weights!A:H,8,false)
</f>
        <v>0</v>
      </c>
      <c r="H35" s="2"/>
      <c r="I35" s="2"/>
      <c r="J35" s="2"/>
      <c r="K35" s="2"/>
      <c r="L35" s="2"/>
      <c r="M35" s="2"/>
      <c r="N35" s="2"/>
      <c r="O35" s="2"/>
      <c r="P35" s="2"/>
      <c r="Q35" s="2"/>
      <c r="R35" s="2"/>
      <c r="S35" s="2"/>
      <c r="T35" s="2"/>
      <c r="U35" s="2"/>
      <c r="V35" s="2"/>
      <c r="W35" s="2"/>
      <c r="X35" s="2"/>
      <c r="Y35" s="2"/>
      <c r="Z35" s="2"/>
      <c r="AA35" s="2"/>
    </row>
    <row r="36" outlineLevel="2">
      <c r="A36" s="18"/>
      <c r="B36" s="19"/>
      <c r="C36" s="13" t="str">
        <f>weights_editor!C32</f>
        <v>Strategy</v>
      </c>
      <c r="D36" s="20" t="str">
        <f>VLOOKUP(TRIM($B$4&amp;$A$7&amp;$B$30&amp;C36),raw_weights!A:I,9,false)
</f>
        <v>N/A</v>
      </c>
      <c r="E36" s="21">
        <v>2.0</v>
      </c>
      <c r="F36" s="16">
        <f>VLOOKUP(TRIM($B$4&amp;$A$7&amp;$B$30&amp;C36),raw_weights!A:H,7,false)
</f>
        <v>1.5</v>
      </c>
      <c r="G36" s="17">
        <f>VLOOKUP(TRIM($B$4&amp;$A$7&amp;$B$30&amp;C36),raw_weights!A:H,8,false)
</f>
        <v>0</v>
      </c>
      <c r="H36" s="2"/>
      <c r="I36" s="2"/>
      <c r="J36" s="2"/>
      <c r="K36" s="2"/>
      <c r="L36" s="2"/>
      <c r="M36" s="2"/>
      <c r="N36" s="2"/>
      <c r="O36" s="2"/>
      <c r="P36" s="2"/>
      <c r="Q36" s="2"/>
      <c r="R36" s="2"/>
      <c r="S36" s="2"/>
      <c r="T36" s="2"/>
      <c r="U36" s="2"/>
      <c r="V36" s="2"/>
      <c r="W36" s="2"/>
      <c r="X36" s="2"/>
      <c r="Y36" s="2"/>
      <c r="Z36" s="2"/>
      <c r="AA36" s="2"/>
    </row>
    <row r="37" outlineLevel="1">
      <c r="A37" s="12"/>
      <c r="B37" s="13" t="str">
        <f>weights_editor!B33</f>
        <v>Debugging &amp; Monitoring</v>
      </c>
      <c r="C37" s="14"/>
      <c r="D37" s="15" t="str">
        <f>VLOOKUP(TRIM($B$4&amp;$A$7&amp;B37&amp;C37),raw_weights!A:I,9,false)
</f>
        <v>The ability to understand and implement systematic debugging and monitoring practices to diagnose issues.
Uses systematic debugging to diagnose all issues located to a single service and drives monitoring work across the team.</v>
      </c>
      <c r="E37" s="16">
        <f>E38*G38+E39*G39+E40*G40+E41*G41+E42*G42+E43*G43</f>
        <v>1.6</v>
      </c>
      <c r="F37" s="16">
        <f>VLOOKUP(TRIM($B$4&amp;$A$7&amp;B37&amp;C37),raw_weights!A:H,7,false)
</f>
        <v>2.525</v>
      </c>
      <c r="G37" s="17">
        <f>VLOOKUP(TRIM($B$4&amp;$A$7&amp;B37&amp;C37),raw_weights!A:H,8,false)
</f>
        <v>0.1</v>
      </c>
      <c r="H37" s="2"/>
      <c r="I37" s="2"/>
      <c r="J37" s="2"/>
      <c r="K37" s="2"/>
      <c r="L37" s="2"/>
      <c r="M37" s="2"/>
      <c r="N37" s="2"/>
      <c r="O37" s="2"/>
      <c r="P37" s="2"/>
      <c r="Q37" s="2"/>
      <c r="R37" s="2"/>
      <c r="S37" s="2"/>
      <c r="T37" s="2"/>
      <c r="U37" s="2"/>
      <c r="V37" s="2"/>
      <c r="W37" s="2"/>
      <c r="X37" s="2"/>
      <c r="Y37" s="2"/>
      <c r="Z37" s="2"/>
      <c r="AA37" s="2"/>
    </row>
    <row r="38" outlineLevel="2">
      <c r="A38" s="18"/>
      <c r="B38" s="19"/>
      <c r="C38" s="13" t="str">
        <f>weights_editor!C34</f>
        <v>Debugging</v>
      </c>
      <c r="D38" s="20" t="str">
        <f>VLOOKUP(TRIM($B$4&amp;$A$7&amp;$B$37&amp;C38),raw_weights!A:I,9,false)
</f>
        <v>You use systematic debugging to diagnose cross service issues, sometimes with help from more senior engineers.</v>
      </c>
      <c r="E38" s="21">
        <v>2.0</v>
      </c>
      <c r="F38" s="16">
        <f>VLOOKUP(TRIM($B$4&amp;$A$7&amp;$B$37&amp;C38),raw_weights!A:H,7,false)
</f>
        <v>2.8</v>
      </c>
      <c r="G38" s="17">
        <f>VLOOKUP(TRIM($B$4&amp;$A$7&amp;$B$37&amp;C38),raw_weights!A:H,8,false)
</f>
        <v>0.4</v>
      </c>
      <c r="H38" s="2"/>
      <c r="I38" s="2"/>
      <c r="J38" s="2"/>
      <c r="K38" s="2"/>
      <c r="L38" s="2"/>
      <c r="M38" s="2"/>
      <c r="N38" s="2"/>
      <c r="O38" s="2"/>
      <c r="P38" s="2"/>
      <c r="Q38" s="2"/>
      <c r="R38" s="2"/>
      <c r="S38" s="2"/>
      <c r="T38" s="2"/>
      <c r="U38" s="2"/>
      <c r="V38" s="2"/>
      <c r="W38" s="2"/>
      <c r="X38" s="2"/>
      <c r="Y38" s="2"/>
      <c r="Z38" s="2"/>
      <c r="AA38" s="2"/>
    </row>
    <row r="39" outlineLevel="2">
      <c r="A39" s="18"/>
      <c r="B39" s="19"/>
      <c r="C39" s="13" t="str">
        <f>weights_editor!C35</f>
        <v>Tools</v>
      </c>
      <c r="D39" s="20" t="str">
        <f>VLOOKUP(TRIM($B$4&amp;$A$7&amp;$B$37&amp;C39),raw_weights!A:I,9,false)
</f>
        <v>You can judge whether a new tool is necessary to instrument and monitor systems. You can create that tool if required.</v>
      </c>
      <c r="E39" s="21">
        <v>2.0</v>
      </c>
      <c r="F39" s="16">
        <f>VLOOKUP(TRIM($B$4&amp;$A$7&amp;$B$37&amp;C39),raw_weights!A:H,7,false)
</f>
        <v>2.6</v>
      </c>
      <c r="G39" s="17">
        <f>VLOOKUP(TRIM($B$4&amp;$A$7&amp;$B$37&amp;C39),raw_weights!A:H,8,false)
</f>
        <v>0.2</v>
      </c>
      <c r="H39" s="2"/>
      <c r="I39" s="2"/>
      <c r="J39" s="2"/>
      <c r="K39" s="2"/>
      <c r="L39" s="2"/>
      <c r="M39" s="2"/>
      <c r="N39" s="2"/>
      <c r="O39" s="2"/>
      <c r="P39" s="2"/>
      <c r="Q39" s="2"/>
      <c r="R39" s="2"/>
      <c r="S39" s="2"/>
      <c r="T39" s="2"/>
      <c r="U39" s="2"/>
      <c r="V39" s="2"/>
      <c r="W39" s="2"/>
      <c r="X39" s="2"/>
      <c r="Y39" s="2"/>
      <c r="Z39" s="2"/>
      <c r="AA39" s="2"/>
    </row>
    <row r="40" outlineLevel="2">
      <c r="A40" s="18"/>
      <c r="B40" s="19"/>
      <c r="C40" s="13" t="str">
        <f>weights_editor!C36</f>
        <v>Philosophy</v>
      </c>
      <c r="D40" s="20" t="str">
        <f>VLOOKUP(TRIM($B$4&amp;$A$7&amp;$B$37&amp;C40),raw_weights!A:I,9,false)
</f>
        <v>You understand the cross-functional and cross-organization implications of your team's monitoring philosophy.
You proactively seek to refine the monitoring philosophy of your team.</v>
      </c>
      <c r="E40" s="21">
        <v>1.0</v>
      </c>
      <c r="F40" s="16">
        <f>VLOOKUP(TRIM($B$4&amp;$A$7&amp;$B$37&amp;C40),raw_weights!A:H,7,false)
</f>
        <v>2.1</v>
      </c>
      <c r="G40" s="17">
        <f>VLOOKUP(TRIM($B$4&amp;$A$7&amp;$B$37&amp;C40),raw_weights!A:H,8,false)
</f>
        <v>0.2</v>
      </c>
      <c r="H40" s="2"/>
      <c r="I40" s="2"/>
      <c r="J40" s="2"/>
      <c r="K40" s="2"/>
      <c r="L40" s="2"/>
      <c r="M40" s="2"/>
      <c r="N40" s="2"/>
      <c r="O40" s="2"/>
      <c r="P40" s="2"/>
      <c r="Q40" s="2"/>
      <c r="R40" s="2"/>
      <c r="S40" s="2"/>
      <c r="T40" s="2"/>
      <c r="U40" s="2"/>
      <c r="V40" s="2"/>
      <c r="W40" s="2"/>
      <c r="X40" s="2"/>
      <c r="Y40" s="2"/>
      <c r="Z40" s="2"/>
      <c r="AA40" s="2"/>
    </row>
    <row r="41" outlineLevel="2">
      <c r="A41" s="18"/>
      <c r="B41" s="19"/>
      <c r="C41" s="13" t="str">
        <f>weights_editor!C37</f>
        <v>Data</v>
      </c>
      <c r="D41" s="20" t="str">
        <f>VLOOKUP(TRIM($B$4&amp;$A$7&amp;$B$37&amp;C41),raw_weights!A:I,9,false)
</f>
        <v>You are aware of the operational data for your team and use it as a basis for driving changes to your team's services to achieve stability and performance improvements.</v>
      </c>
      <c r="E41" s="21">
        <v>1.0</v>
      </c>
      <c r="F41" s="16">
        <f>VLOOKUP(TRIM($B$4&amp;$A$7&amp;$B$37&amp;C41),raw_weights!A:H,7,false)
</f>
        <v>2.4</v>
      </c>
      <c r="G41" s="17">
        <f>VLOOKUP(TRIM($B$4&amp;$A$7&amp;$B$37&amp;C41),raw_weights!A:H,8,false)
</f>
        <v>0.15</v>
      </c>
      <c r="H41" s="2"/>
      <c r="I41" s="2"/>
      <c r="J41" s="2"/>
      <c r="K41" s="2"/>
      <c r="L41" s="2"/>
      <c r="M41" s="2"/>
      <c r="N41" s="2"/>
      <c r="O41" s="2"/>
      <c r="P41" s="2"/>
      <c r="Q41" s="2"/>
      <c r="R41" s="2"/>
      <c r="S41" s="2"/>
      <c r="T41" s="2"/>
      <c r="U41" s="2"/>
      <c r="V41" s="2"/>
      <c r="W41" s="2"/>
      <c r="X41" s="2"/>
      <c r="Y41" s="2"/>
      <c r="Z41" s="2"/>
      <c r="AA41" s="2"/>
    </row>
    <row r="42" outlineLevel="2">
      <c r="A42" s="18"/>
      <c r="B42" s="19"/>
      <c r="C42" s="13" t="str">
        <f>weights_editor!C38</f>
        <v>Profiling</v>
      </c>
      <c r="D42" s="20" t="str">
        <f>VLOOKUP(TRIM($B$4&amp;$A$7&amp;$B$37&amp;C42),raw_weights!A:I,9,false)
</f>
        <v>N/A</v>
      </c>
      <c r="E42" s="21">
        <v>1.0</v>
      </c>
      <c r="F42" s="16">
        <f>VLOOKUP(TRIM($B$4&amp;$A$7&amp;$B$37&amp;C42),raw_weights!A:H,7,false)
</f>
        <v>2.1</v>
      </c>
      <c r="G42" s="17">
        <f>VLOOKUP(TRIM($B$4&amp;$A$7&amp;$B$37&amp;C42),raw_weights!A:H,8,false)
</f>
        <v>0.05</v>
      </c>
      <c r="H42" s="2"/>
      <c r="I42" s="2"/>
      <c r="J42" s="2"/>
      <c r="K42" s="2"/>
      <c r="L42" s="2"/>
      <c r="M42" s="2"/>
      <c r="N42" s="2"/>
      <c r="O42" s="2"/>
      <c r="P42" s="2"/>
      <c r="Q42" s="2"/>
      <c r="R42" s="2"/>
      <c r="S42" s="2"/>
      <c r="T42" s="2"/>
      <c r="U42" s="2"/>
      <c r="V42" s="2"/>
      <c r="W42" s="2"/>
      <c r="X42" s="2"/>
      <c r="Y42" s="2"/>
      <c r="Z42" s="2"/>
      <c r="AA42" s="2"/>
    </row>
    <row r="43" outlineLevel="2">
      <c r="A43" s="18"/>
      <c r="B43" s="19"/>
      <c r="C43" s="13" t="str">
        <f>weights_editor!C39</f>
        <v>Mentoring</v>
      </c>
      <c r="D43" s="20" t="str">
        <f>VLOOKUP(TRIM($B$4&amp;$A$7&amp;$B$37&amp;C43),raw_weights!A:I,9,false)
</f>
        <v>You act as a primary mentor for the rest of their team on running systems.</v>
      </c>
      <c r="E43" s="21">
        <v>1.0</v>
      </c>
      <c r="F43" s="16">
        <f>VLOOKUP(TRIM($B$4&amp;$A$7&amp;$B$37&amp;C43),raw_weights!A:H,7,false)
</f>
        <v>1</v>
      </c>
      <c r="G43" s="17">
        <f>VLOOKUP(TRIM($B$4&amp;$A$7&amp;$B$37&amp;C43),raw_weights!A:H,8,false)
</f>
        <v>0</v>
      </c>
      <c r="H43" s="2"/>
      <c r="I43" s="2"/>
      <c r="J43" s="2"/>
      <c r="K43" s="2"/>
      <c r="L43" s="2"/>
      <c r="M43" s="2"/>
      <c r="N43" s="2"/>
      <c r="O43" s="2"/>
      <c r="P43" s="2"/>
      <c r="Q43" s="2"/>
      <c r="R43" s="2"/>
      <c r="S43" s="2"/>
      <c r="T43" s="2"/>
      <c r="U43" s="2"/>
      <c r="V43" s="2"/>
      <c r="W43" s="2"/>
      <c r="X43" s="2"/>
      <c r="Y43" s="2"/>
      <c r="Z43" s="2"/>
      <c r="AA43" s="2"/>
    </row>
    <row r="44">
      <c r="A44" s="22" t="str">
        <f>weights_editor!A41</f>
        <v>SOFT SKILLS</v>
      </c>
      <c r="B44" s="23"/>
      <c r="C44" s="23"/>
      <c r="D44" s="24"/>
      <c r="E44" s="9">
        <f>(E45*G45+E50*G50+E55*G55+E59*G59+E64*G64)</f>
        <v>1.91</v>
      </c>
      <c r="F44" s="9">
        <f>VLOOKUP(TRIM($B$4&amp;$A$44&amp;B44&amp;C44),raw_weights!A:H,7,false)
</f>
        <v>2.264</v>
      </c>
      <c r="G44" s="11">
        <f>VLOOKUP(TRIM($B$4&amp;$A$44&amp;B44&amp;C44),raw_weights!A:H,8,false)
</f>
        <v>0.3</v>
      </c>
      <c r="H44" s="2"/>
      <c r="I44" s="2"/>
      <c r="J44" s="2"/>
      <c r="K44" s="2"/>
      <c r="L44" s="2"/>
      <c r="M44" s="2"/>
      <c r="N44" s="2"/>
      <c r="O44" s="2"/>
      <c r="P44" s="2"/>
      <c r="Q44" s="2"/>
      <c r="R44" s="2"/>
      <c r="S44" s="2"/>
      <c r="T44" s="2"/>
      <c r="U44" s="2"/>
      <c r="V44" s="2"/>
      <c r="W44" s="2"/>
      <c r="X44" s="2"/>
      <c r="Y44" s="2"/>
      <c r="Z44" s="2"/>
      <c r="AA44" s="2"/>
    </row>
    <row r="45" outlineLevel="1" collapsed="1">
      <c r="A45" s="12"/>
      <c r="B45" s="13" t="str">
        <f>weights_editor!B42</f>
        <v>Empathy &amp; Humility</v>
      </c>
      <c r="C45" s="14"/>
      <c r="D45" s="15" t="str">
        <f>VLOOKUP(TRIM($B$4&amp;$A$44&amp;B45&amp;C45),raw_weights!A:I,9,false)
</f>
        <v>The ability to share someone else's feelings or experiences by imagining what it would be like to be in that person's situation.
A great person to have in any room.
Trusted by peers and their team.
Can take any problem team and help them drive in the same direction.</v>
      </c>
      <c r="E45" s="16">
        <f>E46*G46+E47*G47+E48*G48+E49*G49</f>
        <v>1.6</v>
      </c>
      <c r="F45" s="16">
        <f>VLOOKUP(TRIM($B$4&amp;$A$44&amp;B45&amp;C45),raw_weights!A:H,7,false)
</f>
        <v>2.31</v>
      </c>
      <c r="G45" s="17">
        <f>VLOOKUP(TRIM($B$4&amp;$A$44&amp;B45&amp;C45),raw_weights!A:H,8,false)
</f>
        <v>0.4</v>
      </c>
      <c r="H45" s="2"/>
      <c r="I45" s="2"/>
      <c r="J45" s="2"/>
      <c r="K45" s="2"/>
      <c r="L45" s="2"/>
      <c r="M45" s="2"/>
      <c r="N45" s="2"/>
      <c r="O45" s="2"/>
      <c r="P45" s="2"/>
      <c r="Q45" s="2"/>
      <c r="R45" s="2"/>
      <c r="S45" s="2"/>
      <c r="T45" s="2"/>
      <c r="U45" s="2"/>
      <c r="V45" s="2"/>
      <c r="W45" s="2"/>
      <c r="X45" s="2"/>
      <c r="Y45" s="2"/>
      <c r="Z45" s="2"/>
      <c r="AA45" s="2"/>
    </row>
    <row r="46" hidden="1" outlineLevel="2">
      <c r="A46" s="18"/>
      <c r="B46" s="19"/>
      <c r="C46" s="13" t="str">
        <f>weights_editor!C43</f>
        <v>Credit and blame</v>
      </c>
      <c r="D46" s="20" t="str">
        <f>VLOOKUP(TRIM($B$4&amp;$A$44&amp;$B$45&amp;C46),raw_weights!A:I,9,false)
</f>
        <v>You're an ally to your peers and wider team, protecting them from undue blame and pushing praise onto them.
You regularly look for opportunities to give praise publicly.</v>
      </c>
      <c r="E46" s="21">
        <v>2.0</v>
      </c>
      <c r="F46" s="16">
        <f>VLOOKUP(TRIM($B$4&amp;$A$44&amp;$B$45&amp;C46),raw_weights!A:H,7,false)
</f>
        <v>2.6</v>
      </c>
      <c r="G46" s="17">
        <f>VLOOKUP(TRIM($B$4&amp;$A$44&amp;$B$45&amp;C46),raw_weights!A:H,8,false)
</f>
        <v>0.3</v>
      </c>
      <c r="H46" s="2"/>
      <c r="I46" s="2"/>
      <c r="J46" s="2"/>
      <c r="K46" s="2"/>
      <c r="L46" s="2"/>
      <c r="M46" s="2"/>
      <c r="N46" s="2"/>
      <c r="O46" s="2"/>
      <c r="P46" s="2"/>
      <c r="Q46" s="2"/>
      <c r="R46" s="2"/>
      <c r="S46" s="2"/>
      <c r="T46" s="2"/>
      <c r="U46" s="2"/>
      <c r="V46" s="2"/>
      <c r="W46" s="2"/>
      <c r="X46" s="2"/>
      <c r="Y46" s="2"/>
      <c r="Z46" s="2"/>
      <c r="AA46" s="2"/>
    </row>
    <row r="47" hidden="1" outlineLevel="2">
      <c r="A47" s="18"/>
      <c r="B47" s="19"/>
      <c r="C47" s="13" t="str">
        <f>weights_editor!C44</f>
        <v>Understanding others</v>
      </c>
      <c r="D47" s="20" t="str">
        <f>VLOOKUP(TRIM($B$4&amp;$A$44&amp;$B$45&amp;C47),raw_weights!A:I,9,false)
</f>
        <v>You are able to recognise bias in others and help them to see their peers, customers or stakeholders through fresh eyes.</v>
      </c>
      <c r="E47" s="21">
        <v>2.0</v>
      </c>
      <c r="F47" s="16">
        <f>VLOOKUP(TRIM($B$4&amp;$A$44&amp;$B$45&amp;C47),raw_weights!A:H,7,false)
</f>
        <v>2.7</v>
      </c>
      <c r="G47" s="17">
        <f>VLOOKUP(TRIM($B$4&amp;$A$44&amp;$B$45&amp;C47),raw_weights!A:H,8,false)
</f>
        <v>0.3</v>
      </c>
      <c r="H47" s="2"/>
      <c r="I47" s="2"/>
      <c r="J47" s="2"/>
      <c r="K47" s="2"/>
      <c r="L47" s="2"/>
      <c r="M47" s="2"/>
      <c r="N47" s="2"/>
      <c r="O47" s="2"/>
      <c r="P47" s="2"/>
      <c r="Q47" s="2"/>
      <c r="R47" s="2"/>
      <c r="S47" s="2"/>
      <c r="T47" s="2"/>
      <c r="U47" s="2"/>
      <c r="V47" s="2"/>
      <c r="W47" s="2"/>
      <c r="X47" s="2"/>
      <c r="Y47" s="2"/>
      <c r="Z47" s="2"/>
      <c r="AA47" s="2"/>
    </row>
    <row r="48" hidden="1" outlineLevel="2">
      <c r="A48" s="18"/>
      <c r="B48" s="19"/>
      <c r="C48" s="13" t="str">
        <f>weights_editor!C45</f>
        <v>Mediation and facilitation</v>
      </c>
      <c r="D48" s="20" t="str">
        <f>VLOOKUP(TRIM($B$4&amp;$A$44&amp;$B$45&amp;C48),raw_weights!A:I,9,false)
</f>
        <v>You help teams within your organisation get closer to each other and understand each other's viewpoints.</v>
      </c>
      <c r="E48" s="21">
        <v>1.0</v>
      </c>
      <c r="F48" s="16">
        <f>VLOOKUP(TRIM($B$4&amp;$A$44&amp;$B$45&amp;C48),raw_weights!A:H,7,false)
</f>
        <v>2.1</v>
      </c>
      <c r="G48" s="17">
        <f>VLOOKUP(TRIM($B$4&amp;$A$44&amp;$B$45&amp;C48),raw_weights!A:H,8,false)
</f>
        <v>0.2</v>
      </c>
      <c r="H48" s="2"/>
      <c r="I48" s="2"/>
      <c r="J48" s="2"/>
      <c r="K48" s="2"/>
      <c r="L48" s="2"/>
      <c r="M48" s="2"/>
      <c r="N48" s="2"/>
      <c r="O48" s="2"/>
      <c r="P48" s="2"/>
      <c r="Q48" s="2"/>
      <c r="R48" s="2"/>
      <c r="S48" s="2"/>
      <c r="T48" s="2"/>
      <c r="U48" s="2"/>
      <c r="V48" s="2"/>
      <c r="W48" s="2"/>
      <c r="X48" s="2"/>
      <c r="Y48" s="2"/>
      <c r="Z48" s="2"/>
      <c r="AA48" s="2"/>
    </row>
    <row r="49" hidden="1" outlineLevel="2">
      <c r="A49" s="18"/>
      <c r="B49" s="19"/>
      <c r="C49" s="13" t="str">
        <f>weights_editor!C46</f>
        <v>Mentoring</v>
      </c>
      <c r="D49" s="20" t="str">
        <f>VLOOKUP(TRIM($B$4&amp;$A$44&amp;$B$45&amp;C49),raw_weights!A:I,9,false)
</f>
        <v>You've proactively developed multiple informal or formal mentoring relationship through your ability to understand a peer or subordinate.</v>
      </c>
      <c r="E49" s="21">
        <v>1.0</v>
      </c>
      <c r="F49" s="16">
        <f>VLOOKUP(TRIM($B$4&amp;$A$44&amp;$B$45&amp;C49),raw_weights!A:H,7,false)
</f>
        <v>1.5</v>
      </c>
      <c r="G49" s="17">
        <f>VLOOKUP(TRIM($B$4&amp;$A$44&amp;$B$45&amp;C49),raw_weights!A:H,8,false)
</f>
        <v>0.2</v>
      </c>
      <c r="H49" s="2"/>
      <c r="I49" s="2"/>
      <c r="J49" s="2"/>
      <c r="K49" s="2"/>
      <c r="L49" s="2"/>
      <c r="M49" s="2"/>
      <c r="N49" s="2"/>
      <c r="O49" s="2"/>
      <c r="P49" s="2"/>
      <c r="Q49" s="2"/>
      <c r="R49" s="2"/>
      <c r="S49" s="2"/>
      <c r="T49" s="2"/>
      <c r="U49" s="2"/>
      <c r="V49" s="2"/>
      <c r="W49" s="2"/>
      <c r="X49" s="2"/>
      <c r="Y49" s="2"/>
      <c r="Z49" s="2"/>
      <c r="AA49" s="2"/>
    </row>
    <row r="50" outlineLevel="1" collapsed="1">
      <c r="A50" s="12"/>
      <c r="B50" s="13" t="str">
        <f>weights_editor!B47</f>
        <v>Communication</v>
      </c>
      <c r="C50" s="14"/>
      <c r="D50" s="15" t="str">
        <f>VLOOKUP(TRIM($B$4&amp;$A$44&amp;B50&amp;C50),raw_weights!A:I,9,false)
</f>
        <v>The ability to communicate well with those around you with sensitivity to timeliness, medium, brevity and tone.
Communicates with organisation, helps others in team to communicate.</v>
      </c>
      <c r="E50" s="16">
        <f>E51*G51+E52*G52+E53*G53+E54*G54</f>
        <v>2.2</v>
      </c>
      <c r="F50" s="16">
        <f>VLOOKUP(TRIM($B$4&amp;$A$44&amp;B50&amp;C50),raw_weights!A:H,7,false)
</f>
        <v>1.96</v>
      </c>
      <c r="G50" s="17">
        <f>VLOOKUP(TRIM($B$4&amp;$A$44&amp;B50&amp;C50),raw_weights!A:H,8,false)
</f>
        <v>0.2</v>
      </c>
      <c r="H50" s="2"/>
      <c r="I50" s="2"/>
      <c r="J50" s="2"/>
      <c r="K50" s="2"/>
      <c r="L50" s="2"/>
      <c r="M50" s="2"/>
      <c r="N50" s="2"/>
      <c r="O50" s="2"/>
      <c r="P50" s="2"/>
      <c r="Q50" s="2"/>
      <c r="R50" s="2"/>
      <c r="S50" s="2"/>
      <c r="T50" s="2"/>
      <c r="U50" s="2"/>
      <c r="V50" s="2"/>
      <c r="W50" s="2"/>
      <c r="X50" s="2"/>
      <c r="Y50" s="2"/>
      <c r="Z50" s="2"/>
      <c r="AA50" s="2"/>
    </row>
    <row r="51" hidden="1" outlineLevel="2">
      <c r="A51" s="18"/>
      <c r="B51" s="19"/>
      <c r="C51" s="13" t="str">
        <f>weights_editor!C48</f>
        <v>Keeping people informed</v>
      </c>
      <c r="D51" s="20" t="str">
        <f>VLOOKUP(TRIM($B$4&amp;$A$44&amp;$B$50&amp;C51),raw_weights!A:I,9,false)
</f>
        <v>You communicate on behalf of your team to the broader organisation on important or divisive projects, handling any questions in a timely manner.</v>
      </c>
      <c r="E51" s="21">
        <v>2.0</v>
      </c>
      <c r="F51" s="16">
        <f>VLOOKUP(TRIM($B$4&amp;$A$44&amp;$B$50&amp;C51),raw_weights!A:H,7,false)
</f>
        <v>2</v>
      </c>
      <c r="G51" s="17">
        <f>VLOOKUP(TRIM($B$4&amp;$A$44&amp;$B$50&amp;C51),raw_weights!A:H,8,false)
</f>
        <v>0.5</v>
      </c>
      <c r="H51" s="2"/>
      <c r="I51" s="2"/>
      <c r="J51" s="2"/>
      <c r="K51" s="2"/>
      <c r="L51" s="2"/>
      <c r="M51" s="2"/>
      <c r="N51" s="2"/>
      <c r="O51" s="2"/>
      <c r="P51" s="2"/>
      <c r="Q51" s="2"/>
      <c r="R51" s="2"/>
      <c r="S51" s="2"/>
      <c r="T51" s="2"/>
      <c r="U51" s="2"/>
      <c r="V51" s="2"/>
      <c r="W51" s="2"/>
      <c r="X51" s="2"/>
      <c r="Y51" s="2"/>
      <c r="Z51" s="2"/>
      <c r="AA51" s="2"/>
    </row>
    <row r="52" hidden="1" outlineLevel="2">
      <c r="A52" s="18"/>
      <c r="B52" s="19"/>
      <c r="C52" s="13" t="str">
        <f>weights_editor!C49</f>
        <v>Looking for feedback</v>
      </c>
      <c r="D52" s="20" t="str">
        <f>VLOOKUP(TRIM($B$4&amp;$A$44&amp;$B$50&amp;C52),raw_weights!A:I,9,false)
</f>
        <v>You proactively ask for feedback from important stakeholders in your organisation early in your work.</v>
      </c>
      <c r="E52" s="21">
        <v>3.0</v>
      </c>
      <c r="F52" s="16">
        <f>VLOOKUP(TRIM($B$4&amp;$A$44&amp;$B$50&amp;C52),raw_weights!A:H,7,false)
</f>
        <v>2.8</v>
      </c>
      <c r="G52" s="17">
        <f>VLOOKUP(TRIM($B$4&amp;$A$44&amp;$B$50&amp;C52),raw_weights!A:H,8,false)
</f>
        <v>0.2</v>
      </c>
      <c r="H52" s="2"/>
      <c r="I52" s="2"/>
      <c r="J52" s="2"/>
      <c r="K52" s="2"/>
      <c r="L52" s="2"/>
      <c r="M52" s="2"/>
      <c r="N52" s="2"/>
      <c r="O52" s="2"/>
      <c r="P52" s="2"/>
      <c r="Q52" s="2"/>
      <c r="R52" s="2"/>
      <c r="S52" s="2"/>
      <c r="T52" s="2"/>
      <c r="U52" s="2"/>
      <c r="V52" s="2"/>
      <c r="W52" s="2"/>
      <c r="X52" s="2"/>
      <c r="Y52" s="2"/>
      <c r="Z52" s="2"/>
      <c r="AA52" s="2"/>
    </row>
    <row r="53" hidden="1" outlineLevel="2">
      <c r="A53" s="18"/>
      <c r="B53" s="19"/>
      <c r="C53" s="13" t="str">
        <f>weights_editor!C50</f>
        <v>Delivering bad news</v>
      </c>
      <c r="D53" s="20" t="str">
        <f>VLOOKUP(TRIM($B$4&amp;$A$44&amp;$B$50&amp;C53),raw_weights!A:I,9,false)
</f>
        <v>You communicate changes of plan or slip in timelines to a broad group within your organisation and manage expectations effectively until resolution.</v>
      </c>
      <c r="E53" s="21">
        <v>2.0</v>
      </c>
      <c r="F53" s="16">
        <f>VLOOKUP(TRIM($B$4&amp;$A$44&amp;$B$50&amp;C53),raw_weights!A:H,7,false)
</f>
        <v>1.5</v>
      </c>
      <c r="G53" s="17">
        <f>VLOOKUP(TRIM($B$4&amp;$A$44&amp;$B$50&amp;C53),raw_weights!A:H,8,false)
</f>
        <v>0.2</v>
      </c>
      <c r="H53" s="2"/>
      <c r="I53" s="2"/>
      <c r="J53" s="2"/>
      <c r="K53" s="2"/>
      <c r="L53" s="2"/>
      <c r="M53" s="2"/>
      <c r="N53" s="2"/>
      <c r="O53" s="2"/>
      <c r="P53" s="2"/>
      <c r="Q53" s="2"/>
      <c r="R53" s="2"/>
      <c r="S53" s="2"/>
      <c r="T53" s="2"/>
      <c r="U53" s="2"/>
      <c r="V53" s="2"/>
      <c r="W53" s="2"/>
      <c r="X53" s="2"/>
      <c r="Y53" s="2"/>
      <c r="Z53" s="2"/>
      <c r="AA53" s="2"/>
    </row>
    <row r="54" hidden="1" outlineLevel="2">
      <c r="A54" s="18"/>
      <c r="B54" s="19"/>
      <c r="C54" s="13" t="str">
        <f>weights_editor!C51</f>
        <v>Mentoring communicators</v>
      </c>
      <c r="D54" s="20" t="str">
        <f>VLOOKUP(TRIM($B$4&amp;$A$44&amp;$B$50&amp;C54),raw_weights!A:I,9,false)
</f>
        <v>You set up processes around more effective communication for your immediate team, and manage its implementation. You proactively offer good feedback to peers on their communication methods.</v>
      </c>
      <c r="E54" s="21">
        <v>2.0</v>
      </c>
      <c r="F54" s="16">
        <f>VLOOKUP(TRIM($B$4&amp;$A$44&amp;$B$50&amp;C54),raw_weights!A:H,7,false)
</f>
        <v>1</v>
      </c>
      <c r="G54" s="17">
        <f>VLOOKUP(TRIM($B$4&amp;$A$44&amp;$B$50&amp;C54),raw_weights!A:H,8,false)
</f>
        <v>0.1</v>
      </c>
      <c r="H54" s="2"/>
      <c r="I54" s="2"/>
      <c r="J54" s="2"/>
      <c r="K54" s="2"/>
      <c r="L54" s="2"/>
      <c r="M54" s="2"/>
      <c r="N54" s="2"/>
      <c r="O54" s="2"/>
      <c r="P54" s="2"/>
      <c r="Q54" s="2"/>
      <c r="R54" s="2"/>
      <c r="S54" s="2"/>
      <c r="T54" s="2"/>
      <c r="U54" s="2"/>
      <c r="V54" s="2"/>
      <c r="W54" s="2"/>
      <c r="X54" s="2"/>
      <c r="Y54" s="2"/>
      <c r="Z54" s="2"/>
      <c r="AA54" s="2"/>
    </row>
    <row r="55" outlineLevel="1" collapsed="1">
      <c r="A55" s="12"/>
      <c r="B55" s="13" t="str">
        <f>weights_editor!B52</f>
        <v>Initiative</v>
      </c>
      <c r="C55" s="14"/>
      <c r="D55" s="15" t="str">
        <f>VLOOKUP(TRIM($B$4&amp;$A$44&amp;B55&amp;C55),raw_weights!A:I,9,false)
</f>
        <v>The ability to use your judgment to make decisions and do things without needing to be told what to do.
Refuses to believe that anything is unachievable.
Infectious desire to activate and progress.
Drives others to create their best work.
Like a rocket: just light the fuse.</v>
      </c>
      <c r="E55" s="16">
        <f>E56*G56+E57*G57+E58*G58</f>
        <v>2</v>
      </c>
      <c r="F55" s="16">
        <f>VLOOKUP(TRIM($B$4&amp;$A$44&amp;B55&amp;C55),raw_weights!A:H,7,false)
</f>
        <v>2.45</v>
      </c>
      <c r="G55" s="17">
        <f>VLOOKUP(TRIM($B$4&amp;$A$44&amp;B55&amp;C55),raw_weights!A:H,8,false)
</f>
        <v>0.2</v>
      </c>
      <c r="H55" s="2"/>
      <c r="I55" s="2"/>
      <c r="J55" s="2"/>
      <c r="K55" s="2"/>
      <c r="L55" s="2"/>
      <c r="M55" s="2"/>
      <c r="N55" s="2"/>
      <c r="O55" s="2"/>
      <c r="P55" s="2"/>
      <c r="Q55" s="2"/>
      <c r="R55" s="2"/>
      <c r="S55" s="2"/>
      <c r="T55" s="2"/>
      <c r="U55" s="2"/>
      <c r="V55" s="2"/>
      <c r="W55" s="2"/>
      <c r="X55" s="2"/>
      <c r="Y55" s="2"/>
      <c r="Z55" s="2"/>
      <c r="AA55" s="2"/>
    </row>
    <row r="56" hidden="1" outlineLevel="2">
      <c r="A56" s="18"/>
      <c r="B56" s="19"/>
      <c r="C56" s="13" t="str">
        <f>weights_editor!C53</f>
        <v>Can-do attitude</v>
      </c>
      <c r="D56" s="20" t="str">
        <f>VLOOKUP(TRIM($B$4&amp;$A$44&amp;$B$55&amp;C56),raw_weights!A:I,9,false)
</f>
        <v>You're constantly creating new opportunities for yourself and those around you.
Your team is celebrated for innovation as a result of your contributions.</v>
      </c>
      <c r="E56" s="21">
        <v>2.0</v>
      </c>
      <c r="F56" s="16">
        <f>VLOOKUP(TRIM($B$4&amp;$A$44&amp;$B$55&amp;C56),raw_weights!A:H,7,false)
</f>
        <v>2.8</v>
      </c>
      <c r="G56" s="17">
        <f>VLOOKUP(TRIM($B$4&amp;$A$44&amp;$B$55&amp;C56),raw_weights!A:H,8,false)
</f>
        <v>0.5</v>
      </c>
      <c r="H56" s="2"/>
      <c r="I56" s="2"/>
      <c r="J56" s="2"/>
      <c r="K56" s="2"/>
      <c r="L56" s="2"/>
      <c r="M56" s="2"/>
      <c r="N56" s="2"/>
      <c r="O56" s="2"/>
      <c r="P56" s="2"/>
      <c r="Q56" s="2"/>
      <c r="R56" s="2"/>
      <c r="S56" s="2"/>
      <c r="T56" s="2"/>
      <c r="U56" s="2"/>
      <c r="V56" s="2"/>
      <c r="W56" s="2"/>
      <c r="X56" s="2"/>
      <c r="Y56" s="2"/>
      <c r="Z56" s="2"/>
      <c r="AA56" s="2"/>
    </row>
    <row r="57" hidden="1" outlineLevel="2">
      <c r="A57" s="18"/>
      <c r="B57" s="19"/>
      <c r="C57" s="13" t="str">
        <f>weights_editor!C54</f>
        <v>Pro-activity in seeking help</v>
      </c>
      <c r="D57" s="20" t="str">
        <f>VLOOKUP(TRIM($B$4&amp;$A$44&amp;$B$55&amp;C57),raw_weights!A:I,9,false)
</f>
        <v>You recognise a lack of expertise in yourself and your organisation, and pro-actively found that expertise in areas not given to you.
This leads to a successful outcome on more than one occasion.</v>
      </c>
      <c r="E57" s="21">
        <v>1.0</v>
      </c>
      <c r="F57" s="16">
        <f>VLOOKUP(TRIM($B$4&amp;$A$44&amp;$B$55&amp;C57),raw_weights!A:H,7,false)
</f>
        <v>2.4</v>
      </c>
      <c r="G57" s="17">
        <f>VLOOKUP(TRIM($B$4&amp;$A$44&amp;$B$55&amp;C57),raw_weights!A:H,8,false)
</f>
        <v>0.25</v>
      </c>
      <c r="H57" s="2"/>
      <c r="I57" s="2"/>
      <c r="J57" s="2"/>
      <c r="K57" s="2"/>
      <c r="L57" s="2"/>
      <c r="M57" s="2"/>
      <c r="N57" s="2"/>
      <c r="O57" s="2"/>
      <c r="P57" s="2"/>
      <c r="Q57" s="2"/>
      <c r="R57" s="2"/>
      <c r="S57" s="2"/>
      <c r="T57" s="2"/>
      <c r="U57" s="2"/>
      <c r="V57" s="2"/>
      <c r="W57" s="2"/>
      <c r="X57" s="2"/>
      <c r="Y57" s="2"/>
      <c r="Z57" s="2"/>
      <c r="AA57" s="2"/>
    </row>
    <row r="58" hidden="1" outlineLevel="2">
      <c r="A58" s="18"/>
      <c r="B58" s="19"/>
      <c r="C58" s="13" t="str">
        <f>weights_editor!C55</f>
        <v>Follow through</v>
      </c>
      <c r="D58" s="20" t="str">
        <f>VLOOKUP(TRIM($B$4&amp;$A$44&amp;$B$55&amp;C58),raw_weights!A:I,9,false)
</f>
        <v>You adapt your skillset and knowledge to lead large or complex projects to a successful outcome.</v>
      </c>
      <c r="E58" s="21">
        <v>3.0</v>
      </c>
      <c r="F58" s="16">
        <f>VLOOKUP(TRIM($B$4&amp;$A$44&amp;$B$55&amp;C58),raw_weights!A:H,7,false)
</f>
        <v>1.8</v>
      </c>
      <c r="G58" s="17">
        <f>VLOOKUP(TRIM($B$4&amp;$A$44&amp;$B$55&amp;C58),raw_weights!A:H,8,false)
</f>
        <v>0.25</v>
      </c>
      <c r="H58" s="2"/>
      <c r="I58" s="2"/>
      <c r="J58" s="2"/>
      <c r="K58" s="2"/>
      <c r="L58" s="2"/>
      <c r="M58" s="2"/>
      <c r="N58" s="2"/>
      <c r="O58" s="2"/>
      <c r="P58" s="2"/>
      <c r="Q58" s="2"/>
      <c r="R58" s="2"/>
      <c r="S58" s="2"/>
      <c r="T58" s="2"/>
      <c r="U58" s="2"/>
      <c r="V58" s="2"/>
      <c r="W58" s="2"/>
      <c r="X58" s="2"/>
      <c r="Y58" s="2"/>
      <c r="Z58" s="2"/>
      <c r="AA58" s="2"/>
    </row>
    <row r="59" outlineLevel="1" collapsed="1">
      <c r="A59" s="12"/>
      <c r="B59" s="13" t="str">
        <f>weights_editor!B56</f>
        <v>Objectivity &amp; Adaptability</v>
      </c>
      <c r="C59" s="14"/>
      <c r="D59" s="15" t="str">
        <f>VLOOKUP(TRIM($B$4&amp;$A$44&amp;B59&amp;C59),raw_weights!A:I,9,false)
</f>
        <v>The ability to deal with problems based on conditions that really exist, rather than following fixed theories, ideas, or rules, and to adapt to suit different conditions.
Can take problems outside their skillset and quickly adapt to solve them. Helps other peers to do the same.</v>
      </c>
      <c r="E59" s="16">
        <f>E60*G60+E61*G61+E62*G62+E63*G63</f>
        <v>2.3</v>
      </c>
      <c r="F59" s="16">
        <f>VLOOKUP(TRIM($B$4&amp;$A$44&amp;B59&amp;C59),raw_weights!A:H,7,false)
</f>
        <v>2.78</v>
      </c>
      <c r="G59" s="17">
        <f>VLOOKUP(TRIM($B$4&amp;$A$44&amp;B59&amp;C59),raw_weights!A:H,8,false)
</f>
        <v>0.1</v>
      </c>
      <c r="H59" s="2"/>
      <c r="I59" s="2"/>
      <c r="J59" s="2"/>
      <c r="K59" s="2"/>
      <c r="L59" s="2"/>
      <c r="M59" s="2"/>
      <c r="N59" s="2"/>
      <c r="O59" s="2"/>
      <c r="P59" s="2"/>
      <c r="Q59" s="2"/>
      <c r="R59" s="2"/>
      <c r="S59" s="2"/>
      <c r="T59" s="2"/>
      <c r="U59" s="2"/>
      <c r="V59" s="2"/>
      <c r="W59" s="2"/>
      <c r="X59" s="2"/>
      <c r="Y59" s="2"/>
      <c r="Z59" s="2"/>
      <c r="AA59" s="2"/>
    </row>
    <row r="60" hidden="1" outlineLevel="2">
      <c r="A60" s="18"/>
      <c r="B60" s="19"/>
      <c r="C60" s="13" t="str">
        <f>weights_editor!C57</f>
        <v>Efficient decision-making</v>
      </c>
      <c r="D60" s="20" t="str">
        <f>VLOOKUP(TRIM($B$4&amp;$A$44&amp;$B$59&amp;C60),raw_weights!A:I,9,false)
</f>
        <v>You help your team to make decisions in a more timely manner, breaking down assumptions about the shape of the work and encouraging people to value done over perfect.</v>
      </c>
      <c r="E60" s="21">
        <v>2.0</v>
      </c>
      <c r="F60" s="16">
        <f>VLOOKUP(TRIM($B$4&amp;$A$44&amp;$B$59&amp;C60),raw_weights!A:H,7,false)
</f>
        <v>2.6</v>
      </c>
      <c r="G60" s="17">
        <f>VLOOKUP(TRIM($B$4&amp;$A$44&amp;$B$59&amp;C60),raw_weights!A:H,8,false)
</f>
        <v>0.5</v>
      </c>
      <c r="H60" s="2"/>
      <c r="I60" s="2"/>
      <c r="J60" s="2"/>
      <c r="K60" s="2"/>
      <c r="L60" s="2"/>
      <c r="M60" s="2"/>
      <c r="N60" s="2"/>
      <c r="O60" s="2"/>
      <c r="P60" s="2"/>
      <c r="Q60" s="2"/>
      <c r="R60" s="2"/>
      <c r="S60" s="2"/>
      <c r="T60" s="2"/>
      <c r="U60" s="2"/>
      <c r="V60" s="2"/>
      <c r="W60" s="2"/>
      <c r="X60" s="2"/>
      <c r="Y60" s="2"/>
      <c r="Z60" s="2"/>
      <c r="AA60" s="2"/>
    </row>
    <row r="61" hidden="1" outlineLevel="2">
      <c r="A61" s="18"/>
      <c r="B61" s="19"/>
      <c r="C61" s="13" t="str">
        <f>weights_editor!C58</f>
        <v>Self improvement</v>
      </c>
      <c r="D61" s="20" t="str">
        <f>VLOOKUP(TRIM($B$4&amp;$A$44&amp;$B$59&amp;C61),raw_weights!A:I,9,false)
</f>
        <v>You can point to several areas of improvement resulting from your focus on improving development areas over time.</v>
      </c>
      <c r="E61" s="21">
        <v>4.0</v>
      </c>
      <c r="F61" s="16">
        <f>VLOOKUP(TRIM($B$4&amp;$A$44&amp;$B$59&amp;C61),raw_weights!A:H,7,false)
</f>
        <v>3.5</v>
      </c>
      <c r="G61" s="17">
        <f>VLOOKUP(TRIM($B$4&amp;$A$44&amp;$B$59&amp;C61),raw_weights!A:H,8,false)
</f>
        <v>0.2</v>
      </c>
      <c r="H61" s="2"/>
      <c r="I61" s="2"/>
      <c r="J61" s="2"/>
      <c r="K61" s="2"/>
      <c r="L61" s="2"/>
      <c r="M61" s="2"/>
      <c r="N61" s="2"/>
      <c r="O61" s="2"/>
      <c r="P61" s="2"/>
      <c r="Q61" s="2"/>
      <c r="R61" s="2"/>
      <c r="S61" s="2"/>
      <c r="T61" s="2"/>
      <c r="U61" s="2"/>
      <c r="V61" s="2"/>
      <c r="W61" s="2"/>
      <c r="X61" s="2"/>
      <c r="Y61" s="2"/>
      <c r="Z61" s="2"/>
      <c r="AA61" s="2"/>
    </row>
    <row r="62" hidden="1" outlineLevel="2">
      <c r="A62" s="18"/>
      <c r="B62" s="19"/>
      <c r="C62" s="13" t="str">
        <f>weights_editor!C59</f>
        <v>Objectivity</v>
      </c>
      <c r="D62" s="20" t="str">
        <f>VLOOKUP(TRIM($B$4&amp;$A$44&amp;$B$59&amp;C62),raw_weights!A:I,9,false)
</f>
        <v>You are positive in the face of dramatic changes of plans.
Curveballs are dealt with sensibly without frustration.</v>
      </c>
      <c r="E62" s="21">
        <v>2.0</v>
      </c>
      <c r="F62" s="16">
        <f>VLOOKUP(TRIM($B$4&amp;$A$44&amp;$B$59&amp;C62),raw_weights!A:H,7,false)
</f>
        <v>2.7</v>
      </c>
      <c r="G62" s="17">
        <f>VLOOKUP(TRIM($B$4&amp;$A$44&amp;$B$59&amp;C62),raw_weights!A:H,8,false)
</f>
        <v>0.2</v>
      </c>
      <c r="H62" s="2"/>
      <c r="I62" s="2"/>
      <c r="J62" s="2"/>
      <c r="K62" s="2"/>
      <c r="L62" s="2"/>
      <c r="M62" s="2"/>
      <c r="N62" s="2"/>
      <c r="O62" s="2"/>
      <c r="P62" s="2"/>
      <c r="Q62" s="2"/>
      <c r="R62" s="2"/>
      <c r="S62" s="2"/>
      <c r="T62" s="2"/>
      <c r="U62" s="2"/>
      <c r="V62" s="2"/>
      <c r="W62" s="2"/>
      <c r="X62" s="2"/>
      <c r="Y62" s="2"/>
      <c r="Z62" s="2"/>
      <c r="AA62" s="2"/>
    </row>
    <row r="63" hidden="1" outlineLevel="2">
      <c r="A63" s="18"/>
      <c r="B63" s="19"/>
      <c r="C63" s="13" t="str">
        <f>weights_editor!C60</f>
        <v>Time management</v>
      </c>
      <c r="D63" s="20" t="str">
        <f>VLOOKUP(TRIM($B$4&amp;$A$44&amp;$B$59&amp;C63),raw_weights!A:I,9,false)
</f>
        <v>You're in control of your calendar.
You take no issue with not being involved in a project or meeting if it means saving you time.</v>
      </c>
      <c r="E63" s="21">
        <v>1.0</v>
      </c>
      <c r="F63" s="16">
        <f>VLOOKUP(TRIM($B$4&amp;$A$44&amp;$B$59&amp;C63),raw_weights!A:H,7,false)
</f>
        <v>2.4</v>
      </c>
      <c r="G63" s="17">
        <f>VLOOKUP(TRIM($B$4&amp;$A$44&amp;$B$59&amp;C63),raw_weights!A:H,8,false)
</f>
        <v>0.1</v>
      </c>
      <c r="H63" s="2"/>
      <c r="I63" s="2"/>
      <c r="J63" s="2"/>
      <c r="K63" s="2"/>
      <c r="L63" s="2"/>
      <c r="M63" s="2"/>
      <c r="N63" s="2"/>
      <c r="O63" s="2"/>
      <c r="P63" s="2"/>
      <c r="Q63" s="2"/>
      <c r="R63" s="2"/>
      <c r="S63" s="2"/>
      <c r="T63" s="2"/>
      <c r="U63" s="2"/>
      <c r="V63" s="2"/>
      <c r="W63" s="2"/>
      <c r="X63" s="2"/>
      <c r="Y63" s="2"/>
      <c r="Z63" s="2"/>
      <c r="AA63" s="2"/>
    </row>
    <row r="64" outlineLevel="1" collapsed="1">
      <c r="A64" s="12"/>
      <c r="B64" s="13" t="str">
        <f>weights_editor!B61</f>
        <v>Business Acumen</v>
      </c>
      <c r="C64" s="14"/>
      <c r="D64" s="15" t="str">
        <f>VLOOKUP(TRIM($B$4&amp;$A$44&amp;B64&amp;C64),raw_weights!A:I,9,false)
</f>
        <v/>
      </c>
      <c r="E64" s="16">
        <f>E65*G65</f>
        <v>2</v>
      </c>
      <c r="F64" s="16">
        <f>VLOOKUP(TRIM($B$4&amp;$A$44&amp;B64&amp;C64),raw_weights!A:H,7,false)
</f>
        <v>1.8</v>
      </c>
      <c r="G64" s="17">
        <f>VLOOKUP(TRIM($B$4&amp;$A$44&amp;B64&amp;C64),raw_weights!A:H,8,false)
</f>
        <v>0.1</v>
      </c>
      <c r="H64" s="2"/>
      <c r="I64" s="2"/>
      <c r="J64" s="2"/>
      <c r="K64" s="2"/>
      <c r="L64" s="2"/>
      <c r="M64" s="2"/>
      <c r="N64" s="2"/>
      <c r="O64" s="2"/>
      <c r="P64" s="2"/>
      <c r="Q64" s="2"/>
      <c r="R64" s="2"/>
      <c r="S64" s="2"/>
      <c r="T64" s="2"/>
      <c r="U64" s="2"/>
      <c r="V64" s="2"/>
      <c r="W64" s="2"/>
      <c r="X64" s="2"/>
      <c r="Y64" s="2"/>
      <c r="Z64" s="2"/>
      <c r="AA64" s="2"/>
    </row>
    <row r="65" hidden="1" outlineLevel="2">
      <c r="A65" s="18"/>
      <c r="B65" s="19"/>
      <c r="C65" s="13" t="str">
        <f>weights_editor!C62</f>
        <v>Understanding level</v>
      </c>
      <c r="D65" s="20" t="str">
        <f>VLOOKUP(TRIM($B$4&amp;$A$44&amp;$B$64&amp;C65),raw_weights!A:I,9,false)
</f>
        <v>Has a thorough understanding of their team's domain, and how it contributes to overall business strategy.
Has a basic understanding of adjacent teams' business domains.</v>
      </c>
      <c r="E65" s="21">
        <v>2.0</v>
      </c>
      <c r="F65" s="16">
        <f>VLOOKUP(TRIM($B$4&amp;$A$44&amp;$B$64&amp;C65),raw_weights!A:H,7,false)
</f>
        <v>1.8</v>
      </c>
      <c r="G65" s="17">
        <f>VLOOKUP(TRIM($B$4&amp;$A$44&amp;$B$64&amp;C65),raw_weights!A:H,8,false)
</f>
        <v>1</v>
      </c>
      <c r="H65" s="2"/>
      <c r="I65" s="2"/>
      <c r="J65" s="2"/>
      <c r="K65" s="2"/>
      <c r="L65" s="2"/>
      <c r="M65" s="2"/>
      <c r="N65" s="2"/>
      <c r="O65" s="2"/>
      <c r="P65" s="2"/>
      <c r="Q65" s="2"/>
      <c r="R65" s="2"/>
      <c r="S65" s="2"/>
      <c r="T65" s="2"/>
      <c r="U65" s="2"/>
      <c r="V65" s="2"/>
      <c r="W65" s="2"/>
      <c r="X65" s="2"/>
      <c r="Y65" s="2"/>
      <c r="Z65" s="2"/>
      <c r="AA65" s="2"/>
    </row>
    <row r="66" collapsed="1">
      <c r="A66" s="22" t="str">
        <f>weights_editor!A64</f>
        <v>LEADERSHIP</v>
      </c>
      <c r="B66" s="23"/>
      <c r="C66" s="23"/>
      <c r="D66" s="24"/>
      <c r="E66" s="9">
        <f>(E67*G67+E71*G71+E76*G76+E81*G81+E86*G86)</f>
        <v>2.405</v>
      </c>
      <c r="F66" s="9">
        <f>VLOOKUP(TRIM($B$4&amp;$A$66&amp;B66&amp;C66),raw_weights!A:H,7,false)
</f>
        <v>1.2755</v>
      </c>
      <c r="G66" s="11">
        <f>VLOOKUP(TRIM($B$4&amp;$A$66&amp;B66&amp;C66),raw_weights!A:H,8,false)
</f>
        <v>0.1</v>
      </c>
      <c r="H66" s="2"/>
      <c r="I66" s="2"/>
      <c r="J66" s="2"/>
      <c r="K66" s="2"/>
      <c r="L66" s="2"/>
      <c r="M66" s="2"/>
      <c r="N66" s="2"/>
      <c r="O66" s="2"/>
      <c r="P66" s="2"/>
      <c r="Q66" s="2"/>
      <c r="R66" s="2"/>
      <c r="S66" s="2"/>
      <c r="T66" s="2"/>
      <c r="U66" s="2"/>
      <c r="V66" s="2"/>
      <c r="W66" s="2"/>
      <c r="X66" s="2"/>
      <c r="Y66" s="2"/>
      <c r="Z66" s="2"/>
      <c r="AA66" s="2"/>
    </row>
    <row r="67" hidden="1" outlineLevel="1" collapsed="1">
      <c r="A67" s="12"/>
      <c r="B67" s="13" t="str">
        <f>weights_editor!B65</f>
        <v>Hiring and Org Design</v>
      </c>
      <c r="C67" s="14"/>
      <c r="D67" s="15" t="str">
        <f>VLOOKUP(TRIM($B$4&amp;$A$66&amp;B67&amp;C67),raw_weights!A:I,9,false)
</f>
        <v>The ability to understand the needs of the business and ensure that your team can meet them.
A competent interviewer. Able to follow a structured hiring process, and make a decision.</v>
      </c>
      <c r="E67" s="16">
        <f>E68*G68+E69*G69+E70*G70</f>
        <v>2.4</v>
      </c>
      <c r="F67" s="16">
        <f>VLOOKUP(TRIM($B$4&amp;$A$66&amp;B67&amp;C67),raw_weights!A:H,7,false)
</f>
        <v>0.48</v>
      </c>
      <c r="G67" s="17">
        <f>VLOOKUP(TRIM($B$4&amp;$A$66&amp;B67&amp;C67),raw_weights!A:H,8,false)
</f>
        <v>0.3</v>
      </c>
      <c r="H67" s="2"/>
      <c r="I67" s="2"/>
      <c r="J67" s="2"/>
      <c r="K67" s="2"/>
      <c r="L67" s="2"/>
      <c r="M67" s="2"/>
      <c r="N67" s="2"/>
      <c r="O67" s="2"/>
      <c r="P67" s="2"/>
      <c r="Q67" s="2"/>
      <c r="R67" s="2"/>
      <c r="S67" s="2"/>
      <c r="T67" s="2"/>
      <c r="U67" s="2"/>
      <c r="V67" s="2"/>
      <c r="W67" s="2"/>
      <c r="X67" s="2"/>
      <c r="Y67" s="2"/>
      <c r="Z67" s="2"/>
      <c r="AA67" s="2"/>
    </row>
    <row r="68" hidden="1" outlineLevel="2">
      <c r="A68" s="18"/>
      <c r="B68" s="19"/>
      <c r="C68" s="13" t="str">
        <f>weights_editor!C66</f>
        <v>Deploying Teams</v>
      </c>
      <c r="D68" s="20" t="str">
        <f>VLOOKUP(TRIM($B$4&amp;$A$66&amp;$B$67&amp;C68),raw_weights!A:I,9,false)
</f>
        <v>You've carved out an additional role for yourself or peers to fulfil a need that a team has.</v>
      </c>
      <c r="E68" s="21">
        <v>3.0</v>
      </c>
      <c r="F68" s="16">
        <f>VLOOKUP(TRIM($B$4&amp;$A$66&amp;$B$67&amp;C68),raw_weights!A:H,7,false)
</f>
        <v>0.2</v>
      </c>
      <c r="G68" s="17">
        <f>VLOOKUP(TRIM($B$4&amp;$A$66&amp;$B$67&amp;C68),raw_weights!A:H,8,false)
</f>
        <v>0.4</v>
      </c>
      <c r="H68" s="2"/>
      <c r="I68" s="2"/>
      <c r="J68" s="2"/>
      <c r="K68" s="2"/>
      <c r="L68" s="2"/>
      <c r="M68" s="2"/>
      <c r="N68" s="2"/>
      <c r="O68" s="2"/>
      <c r="P68" s="2"/>
      <c r="Q68" s="2"/>
      <c r="R68" s="2"/>
      <c r="S68" s="2"/>
      <c r="T68" s="2"/>
      <c r="U68" s="2"/>
      <c r="V68" s="2"/>
      <c r="W68" s="2"/>
      <c r="X68" s="2"/>
      <c r="Y68" s="2"/>
      <c r="Z68" s="2"/>
      <c r="AA68" s="2"/>
    </row>
    <row r="69" hidden="1" outlineLevel="2">
      <c r="A69" s="18"/>
      <c r="B69" s="19"/>
      <c r="C69" s="13" t="str">
        <f>weights_editor!C67</f>
        <v>Employer Brand</v>
      </c>
      <c r="D69" s="20" t="str">
        <f>VLOOKUP(TRIM($B$4&amp;$A$66&amp;$B$67&amp;C69),raw_weights!A:I,9,false)
</f>
        <v>You've helped to establish the company as a good employer through promotion on stage or online.
You've inputted into the company's careers pages.</v>
      </c>
      <c r="E69" s="21">
        <v>2.0</v>
      </c>
      <c r="F69" s="16">
        <f>VLOOKUP(TRIM($B$4&amp;$A$66&amp;$B$67&amp;C69),raw_weights!A:H,7,false)
</f>
        <v>1</v>
      </c>
      <c r="G69" s="17">
        <f>VLOOKUP(TRIM($B$4&amp;$A$66&amp;$B$67&amp;C69),raw_weights!A:H,8,false)
</f>
        <v>0.4</v>
      </c>
      <c r="H69" s="2"/>
      <c r="I69" s="2"/>
      <c r="J69" s="2"/>
      <c r="K69" s="2"/>
      <c r="L69" s="2"/>
      <c r="M69" s="2"/>
      <c r="N69" s="2"/>
      <c r="O69" s="2"/>
      <c r="P69" s="2"/>
      <c r="Q69" s="2"/>
      <c r="R69" s="2"/>
      <c r="S69" s="2"/>
      <c r="T69" s="2"/>
      <c r="U69" s="2"/>
      <c r="V69" s="2"/>
      <c r="W69" s="2"/>
      <c r="X69" s="2"/>
      <c r="Y69" s="2"/>
      <c r="Z69" s="2"/>
      <c r="AA69" s="2"/>
    </row>
    <row r="70" hidden="1" outlineLevel="2">
      <c r="A70" s="18"/>
      <c r="B70" s="19"/>
      <c r="C70" s="13" t="str">
        <f>weights_editor!C68</f>
        <v>Hiring</v>
      </c>
      <c r="D70" s="20" t="str">
        <f>VLOOKUP(TRIM($B$4&amp;$A$66&amp;$B$67&amp;C70),raw_weights!A:I,9,false)
</f>
        <v>You are regularly part of hiring panels, and have been hiring manager for at least one hire that passed probation.</v>
      </c>
      <c r="E70" s="21">
        <v>2.0</v>
      </c>
      <c r="F70" s="16">
        <f>VLOOKUP(TRIM($B$4&amp;$A$66&amp;$B$67&amp;C70),raw_weights!A:H,7,false)
</f>
        <v>0</v>
      </c>
      <c r="G70" s="17">
        <f>VLOOKUP(TRIM($B$4&amp;$A$66&amp;$B$67&amp;C70),raw_weights!A:H,8,false)
</f>
        <v>0.2</v>
      </c>
      <c r="H70" s="2"/>
      <c r="I70" s="2"/>
      <c r="J70" s="2"/>
      <c r="K70" s="2"/>
      <c r="L70" s="2"/>
      <c r="M70" s="2"/>
      <c r="N70" s="2"/>
      <c r="O70" s="2"/>
      <c r="P70" s="2"/>
      <c r="Q70" s="2"/>
      <c r="R70" s="2"/>
      <c r="S70" s="2"/>
      <c r="T70" s="2"/>
      <c r="U70" s="2"/>
      <c r="V70" s="2"/>
      <c r="W70" s="2"/>
      <c r="X70" s="2"/>
      <c r="Y70" s="2"/>
      <c r="Z70" s="2"/>
      <c r="AA70" s="2"/>
    </row>
    <row r="71" hidden="1" outlineLevel="1" collapsed="1">
      <c r="A71" s="12"/>
      <c r="B71" s="13" t="str">
        <f>weights_editor!B69</f>
        <v>Stakeholder Management</v>
      </c>
      <c r="C71" s="14"/>
      <c r="D71" s="15" t="str">
        <f>VLOOKUP(TRIM($B$4&amp;$A$66&amp;B71&amp;C71),raw_weights!A:I,9,false)
</f>
        <v>The ability to ensure that teams are protected and expectations are set correctly.
Is able to proactively inform stakeholders both within and outside the organisation with pertinent and timely information, including bad news.
Able to read and adapt to personalities across the organisation. Has good relationships with all key stakeholders.</v>
      </c>
      <c r="E71" s="16">
        <f>E72*G72+E73*G73+E74*G74+E75*G75</f>
        <v>2.7</v>
      </c>
      <c r="F71" s="16">
        <f>VLOOKUP(TRIM($B$4&amp;$A$66&amp;B71&amp;C71),raw_weights!A:H,7,false)
</f>
        <v>1.97</v>
      </c>
      <c r="G71" s="17">
        <f>VLOOKUP(TRIM($B$4&amp;$A$66&amp;B71&amp;C71),raw_weights!A:H,8,false)
</f>
        <v>0.3</v>
      </c>
      <c r="H71" s="2"/>
      <c r="I71" s="2"/>
      <c r="J71" s="2"/>
      <c r="K71" s="2"/>
      <c r="L71" s="2"/>
      <c r="M71" s="2"/>
      <c r="N71" s="2"/>
      <c r="O71" s="2"/>
      <c r="P71" s="2"/>
      <c r="Q71" s="2"/>
      <c r="R71" s="2"/>
      <c r="S71" s="2"/>
      <c r="T71" s="2"/>
      <c r="U71" s="2"/>
      <c r="V71" s="2"/>
      <c r="W71" s="2"/>
      <c r="X71" s="2"/>
      <c r="Y71" s="2"/>
      <c r="Z71" s="2"/>
      <c r="AA71" s="2"/>
    </row>
    <row r="72" hidden="1" outlineLevel="2">
      <c r="A72" s="18"/>
      <c r="B72" s="19"/>
      <c r="C72" s="13" t="str">
        <f>weights_editor!C70</f>
        <v>Managing Goals and Expectations</v>
      </c>
      <c r="D72" s="20" t="str">
        <f>VLOOKUP(TRIM($B$4&amp;$A$66&amp;$B$71&amp;C72),raw_weights!A:I,9,false)
</f>
        <v>You lead multiple larger projects with external clients or internal stakeholders, including managing bad news and scope creep or timeline slippage, with successful outcomes.</v>
      </c>
      <c r="E72" s="21">
        <v>3.0</v>
      </c>
      <c r="F72" s="16">
        <f>VLOOKUP(TRIM($B$4&amp;$A$66&amp;$B$71&amp;C72),raw_weights!A:H,7,false)
</f>
        <v>1.7</v>
      </c>
      <c r="G72" s="17">
        <f>VLOOKUP(TRIM($B$4&amp;$A$66&amp;$B$71&amp;C72),raw_weights!A:H,8,false)
</f>
        <v>0.4</v>
      </c>
      <c r="H72" s="2"/>
      <c r="I72" s="2"/>
      <c r="J72" s="2"/>
      <c r="K72" s="2"/>
      <c r="L72" s="2"/>
      <c r="M72" s="2"/>
      <c r="N72" s="2"/>
      <c r="O72" s="2"/>
      <c r="P72" s="2"/>
      <c r="Q72" s="2"/>
      <c r="R72" s="2"/>
      <c r="S72" s="2"/>
      <c r="T72" s="2"/>
      <c r="U72" s="2"/>
      <c r="V72" s="2"/>
      <c r="W72" s="2"/>
      <c r="X72" s="2"/>
      <c r="Y72" s="2"/>
      <c r="Z72" s="2"/>
      <c r="AA72" s="2"/>
    </row>
    <row r="73" hidden="1" outlineLevel="2">
      <c r="A73" s="18"/>
      <c r="B73" s="19"/>
      <c r="C73" s="13" t="str">
        <f>weights_editor!C71</f>
        <v>Foresight</v>
      </c>
      <c r="D73" s="20" t="str">
        <f>VLOOKUP(TRIM($B$4&amp;$A$66&amp;$B$71&amp;C73),raw_weights!A:I,9,false)
</f>
        <v>You look for misalignment across large scopes of work involving multiple clients or stakeholders, and ensure that they're smoothed out in advance.</v>
      </c>
      <c r="E73" s="21">
        <v>2.0</v>
      </c>
      <c r="F73" s="16">
        <f>VLOOKUP(TRIM($B$4&amp;$A$66&amp;$B$71&amp;C73),raw_weights!A:H,7,false)
</f>
        <v>2</v>
      </c>
      <c r="G73" s="17">
        <f>VLOOKUP(TRIM($B$4&amp;$A$66&amp;$B$71&amp;C73),raw_weights!A:H,8,false)
</f>
        <v>0.3</v>
      </c>
      <c r="H73" s="2"/>
      <c r="I73" s="2"/>
      <c r="J73" s="2"/>
      <c r="K73" s="2"/>
      <c r="L73" s="2"/>
      <c r="M73" s="2"/>
      <c r="N73" s="2"/>
      <c r="O73" s="2"/>
      <c r="P73" s="2"/>
      <c r="Q73" s="2"/>
      <c r="R73" s="2"/>
      <c r="S73" s="2"/>
      <c r="T73" s="2"/>
      <c r="U73" s="2"/>
      <c r="V73" s="2"/>
      <c r="W73" s="2"/>
      <c r="X73" s="2"/>
      <c r="Y73" s="2"/>
      <c r="Z73" s="2"/>
      <c r="AA73" s="2"/>
    </row>
    <row r="74" hidden="1" outlineLevel="2">
      <c r="A74" s="18"/>
      <c r="B74" s="19"/>
      <c r="C74" s="13" t="str">
        <f>weights_editor!C72</f>
        <v>Engendering Trust</v>
      </c>
      <c r="D74" s="20" t="str">
        <f>VLOOKUP(TRIM($B$4&amp;$A$66&amp;$B$71&amp;C74),raw_weights!A:I,9,false)
</f>
        <v>You've repeatedly proven yourself able to work closely with clients or stakeholders in ways that earn respect and results. You use their time wisely and lean into their knowledge.</v>
      </c>
      <c r="E74" s="21">
        <v>4.0</v>
      </c>
      <c r="F74" s="16">
        <f>VLOOKUP(TRIM($B$4&amp;$A$66&amp;$B$71&amp;C74),raw_weights!A:H,7,false)
</f>
        <v>2.4</v>
      </c>
      <c r="G74" s="17">
        <f>VLOOKUP(TRIM($B$4&amp;$A$66&amp;$B$71&amp;C74),raw_weights!A:H,8,false)
</f>
        <v>0.2</v>
      </c>
      <c r="H74" s="2"/>
      <c r="I74" s="2"/>
      <c r="J74" s="2"/>
      <c r="K74" s="2"/>
      <c r="L74" s="2"/>
      <c r="M74" s="2"/>
      <c r="N74" s="2"/>
      <c r="O74" s="2"/>
      <c r="P74" s="2"/>
      <c r="Q74" s="2"/>
      <c r="R74" s="2"/>
      <c r="S74" s="2"/>
      <c r="T74" s="2"/>
      <c r="U74" s="2"/>
      <c r="V74" s="2"/>
      <c r="W74" s="2"/>
      <c r="X74" s="2"/>
      <c r="Y74" s="2"/>
      <c r="Z74" s="2"/>
      <c r="AA74" s="2"/>
    </row>
    <row r="75" hidden="1" outlineLevel="2">
      <c r="A75" s="18"/>
      <c r="B75" s="19"/>
      <c r="C75" s="13" t="str">
        <f>weights_editor!C73</f>
        <v>Protecting the Team</v>
      </c>
      <c r="D75" s="20" t="str">
        <f>VLOOKUP(TRIM($B$4&amp;$A$66&amp;$B$71&amp;C75),raw_weights!A:I,9,false)
</f>
        <v>You protect direct reports from difficult stakeholders across multiple projects.</v>
      </c>
      <c r="E75" s="21">
        <v>1.0</v>
      </c>
      <c r="F75" s="16">
        <f>VLOOKUP(TRIM($B$4&amp;$A$66&amp;$B$71&amp;C75),raw_weights!A:H,7,false)
</f>
        <v>2.1</v>
      </c>
      <c r="G75" s="17">
        <f>VLOOKUP(TRIM($B$4&amp;$A$66&amp;$B$71&amp;C75),raw_weights!A:H,8,false)
</f>
        <v>0.1</v>
      </c>
      <c r="H75" s="2"/>
      <c r="I75" s="2"/>
      <c r="J75" s="2"/>
      <c r="K75" s="2"/>
      <c r="L75" s="2"/>
      <c r="M75" s="2"/>
      <c r="N75" s="2"/>
      <c r="O75" s="2"/>
      <c r="P75" s="2"/>
      <c r="Q75" s="2"/>
      <c r="R75" s="2"/>
      <c r="S75" s="2"/>
      <c r="T75" s="2"/>
      <c r="U75" s="2"/>
      <c r="V75" s="2"/>
      <c r="W75" s="2"/>
      <c r="X75" s="2"/>
      <c r="Y75" s="2"/>
      <c r="Z75" s="2"/>
      <c r="AA75" s="2"/>
    </row>
    <row r="76" hidden="1" outlineLevel="1" collapsed="1">
      <c r="A76" s="12"/>
      <c r="B76" s="13" t="str">
        <f>weights_editor!B74</f>
        <v>Team Leadership</v>
      </c>
      <c r="C76" s="14"/>
      <c r="D76" s="15" t="str">
        <f>VLOOKUP(TRIM($B$4&amp;$A$66&amp;B76&amp;C76),raw_weights!A:I,9,false)
</f>
        <v>The ability to maintain quality, efficiency and establish trust in your ability.
Capable of informally managing interns, contractors, suppliers and agencies.
Possibly manages one or two junior team members.
Doesn't look for glory, and doesn't complain about boring work.
Assumes good decisions in others work.
Broadly does what they say they're going to do.</v>
      </c>
      <c r="E76" s="16">
        <f>E77*G77+E78*G78+E79*G79+E80*G80</f>
        <v>2.2</v>
      </c>
      <c r="F76" s="16">
        <f>VLOOKUP(TRIM($B$4&amp;$A$66&amp;B76&amp;C76),raw_weights!A:H,7,false)
</f>
        <v>1.59</v>
      </c>
      <c r="G76" s="17">
        <f>VLOOKUP(TRIM($B$4&amp;$A$66&amp;B76&amp;C76),raw_weights!A:H,8,false)
</f>
        <v>0.2</v>
      </c>
      <c r="H76" s="2"/>
      <c r="I76" s="2"/>
      <c r="J76" s="2"/>
      <c r="K76" s="2"/>
      <c r="L76" s="2"/>
      <c r="M76" s="2"/>
      <c r="N76" s="2"/>
      <c r="O76" s="2"/>
      <c r="P76" s="2"/>
      <c r="Q76" s="2"/>
      <c r="R76" s="2"/>
      <c r="S76" s="2"/>
      <c r="T76" s="2"/>
      <c r="U76" s="2"/>
      <c r="V76" s="2"/>
      <c r="W76" s="2"/>
      <c r="X76" s="2"/>
      <c r="Y76" s="2"/>
      <c r="Z76" s="2"/>
      <c r="AA76" s="2"/>
    </row>
    <row r="77" hidden="1" outlineLevel="2">
      <c r="A77" s="18"/>
      <c r="B77" s="19"/>
      <c r="C77" s="13" t="str">
        <f>weights_editor!C75</f>
        <v>Putting the Team first</v>
      </c>
      <c r="D77" s="20" t="str">
        <f>VLOOKUP(TRIM($B$4&amp;$A$66&amp;$B$76&amp;C77),raw_weights!A:I,9,false)
</f>
        <v>You regularly make time for listening to and understanding the people you're responsible for.</v>
      </c>
      <c r="E77" s="21">
        <v>3.0</v>
      </c>
      <c r="F77" s="16">
        <f>VLOOKUP(TRIM($B$4&amp;$A$66&amp;$B$76&amp;C77),raw_weights!A:H,7,false)
</f>
        <v>2</v>
      </c>
      <c r="G77" s="17">
        <f>VLOOKUP(TRIM($B$4&amp;$A$66&amp;$B$76&amp;C77),raw_weights!A:H,8,false)
</f>
        <v>0.5</v>
      </c>
      <c r="H77" s="2"/>
      <c r="I77" s="2"/>
      <c r="J77" s="2"/>
      <c r="K77" s="2"/>
      <c r="L77" s="2"/>
      <c r="M77" s="2"/>
      <c r="N77" s="2"/>
      <c r="O77" s="2"/>
      <c r="P77" s="2"/>
      <c r="Q77" s="2"/>
      <c r="R77" s="2"/>
      <c r="S77" s="2"/>
      <c r="T77" s="2"/>
      <c r="U77" s="2"/>
      <c r="V77" s="2"/>
      <c r="W77" s="2"/>
      <c r="X77" s="2"/>
      <c r="Y77" s="2"/>
      <c r="Z77" s="2"/>
      <c r="AA77" s="2"/>
    </row>
    <row r="78" hidden="1" outlineLevel="2">
      <c r="A78" s="18"/>
      <c r="B78" s="19"/>
      <c r="C78" s="13" t="str">
        <f>weights_editor!C76</f>
        <v>Difficult Conversations</v>
      </c>
      <c r="D78" s="20" t="str">
        <f>VLOOKUP(TRIM($B$4&amp;$A$66&amp;$B$76&amp;C78),raw_weights!A:I,9,false)
</f>
        <v>You have helped someone on your team out with a difficult personal decision and acted in an objective, professional manner.</v>
      </c>
      <c r="E78" s="21">
        <v>1.0</v>
      </c>
      <c r="F78" s="16">
        <f>VLOOKUP(TRIM($B$4&amp;$A$66&amp;$B$76&amp;C78),raw_weights!A:H,7,false)
</f>
        <v>0.4</v>
      </c>
      <c r="G78" s="17">
        <f>VLOOKUP(TRIM($B$4&amp;$A$66&amp;$B$76&amp;C78),raw_weights!A:H,8,false)
</f>
        <v>0.2</v>
      </c>
      <c r="H78" s="2"/>
      <c r="I78" s="2"/>
      <c r="J78" s="2"/>
      <c r="K78" s="2"/>
      <c r="L78" s="2"/>
      <c r="M78" s="2"/>
      <c r="N78" s="2"/>
      <c r="O78" s="2"/>
      <c r="P78" s="2"/>
      <c r="Q78" s="2"/>
      <c r="R78" s="2"/>
      <c r="S78" s="2"/>
      <c r="T78" s="2"/>
      <c r="U78" s="2"/>
      <c r="V78" s="2"/>
      <c r="W78" s="2"/>
      <c r="X78" s="2"/>
      <c r="Y78" s="2"/>
      <c r="Z78" s="2"/>
      <c r="AA78" s="2"/>
    </row>
    <row r="79" hidden="1" outlineLevel="2">
      <c r="A79" s="18"/>
      <c r="B79" s="19"/>
      <c r="C79" s="13" t="str">
        <f>weights_editor!C77</f>
        <v>Reliability</v>
      </c>
      <c r="D79" s="20" t="str">
        <f>VLOOKUP(TRIM($B$4&amp;$A$66&amp;$B$76&amp;C79),raw_weights!A:I,9,false)
</f>
        <v>You have been open about your intentions when making a team-level decision – for example moving people between teams or introducing new role expectations – and followed through.</v>
      </c>
      <c r="E79" s="21">
        <v>1.0</v>
      </c>
      <c r="F79" s="16">
        <f>VLOOKUP(TRIM($B$4&amp;$A$66&amp;$B$76&amp;C79),raw_weights!A:H,7,false)
</f>
        <v>1.6</v>
      </c>
      <c r="G79" s="17">
        <f>VLOOKUP(TRIM($B$4&amp;$A$66&amp;$B$76&amp;C79),raw_weights!A:H,8,false)
</f>
        <v>0.2</v>
      </c>
      <c r="H79" s="2"/>
      <c r="I79" s="2"/>
      <c r="J79" s="2"/>
      <c r="K79" s="2"/>
      <c r="L79" s="2"/>
      <c r="M79" s="2"/>
      <c r="N79" s="2"/>
      <c r="O79" s="2"/>
      <c r="P79" s="2"/>
      <c r="Q79" s="2"/>
      <c r="R79" s="2"/>
      <c r="S79" s="2"/>
      <c r="T79" s="2"/>
      <c r="U79" s="2"/>
      <c r="V79" s="2"/>
      <c r="W79" s="2"/>
      <c r="X79" s="2"/>
      <c r="Y79" s="2"/>
      <c r="Z79" s="2"/>
      <c r="AA79" s="2"/>
    </row>
    <row r="80" hidden="1" outlineLevel="2">
      <c r="A80" s="18"/>
      <c r="B80" s="19"/>
      <c r="C80" s="13" t="str">
        <f>weights_editor!C78</f>
        <v>Vulnerability</v>
      </c>
      <c r="D80" s="20" t="str">
        <f>VLOOKUP(TRIM($B$4&amp;$A$66&amp;$B$76&amp;C80),raw_weights!A:I,9,false)
</f>
        <v>You have proactively admitted fault and weakness in yourself to team members, and admitted a mistake made in work you've done.</v>
      </c>
      <c r="E80" s="21">
        <v>3.0</v>
      </c>
      <c r="F80" s="16">
        <f>VLOOKUP(TRIM($B$4&amp;$A$66&amp;$B$76&amp;C80),raw_weights!A:H,7,false)
</f>
        <v>1.9</v>
      </c>
      <c r="G80" s="17">
        <f>VLOOKUP(TRIM($B$4&amp;$A$66&amp;$B$76&amp;C80),raw_weights!A:H,8,false)
</f>
        <v>0.1</v>
      </c>
      <c r="H80" s="2"/>
      <c r="I80" s="2"/>
      <c r="J80" s="2"/>
      <c r="K80" s="2"/>
      <c r="L80" s="2"/>
      <c r="M80" s="2"/>
      <c r="N80" s="2"/>
      <c r="O80" s="2"/>
      <c r="P80" s="2"/>
      <c r="Q80" s="2"/>
      <c r="R80" s="2"/>
      <c r="S80" s="2"/>
      <c r="T80" s="2"/>
      <c r="U80" s="2"/>
      <c r="V80" s="2"/>
      <c r="W80" s="2"/>
      <c r="X80" s="2"/>
      <c r="Y80" s="2"/>
      <c r="Z80" s="2"/>
      <c r="AA80" s="2"/>
    </row>
    <row r="81" hidden="1" outlineLevel="1" collapsed="1">
      <c r="A81" s="12"/>
      <c r="B81" s="13" t="str">
        <f>weights_editor!B79</f>
        <v>Developing Others</v>
      </c>
      <c r="C81" s="14"/>
      <c r="D81" s="15" t="str">
        <f>VLOOKUP(TRIM($B$4&amp;$A$66&amp;B81&amp;C81),raw_weights!A:I,9,false)
</f>
        <v>The ability to develop the skillsets and abilities of your team.
Able to recognise the strengths of peers, and look for ways to support those strengths through project work.
Has invested time in materials or process to support team growth.
Peers see them as an informal coach.</v>
      </c>
      <c r="E81" s="16">
        <f>E82*G82+E83*G83+E84*G84+E85*G85</f>
        <v>2</v>
      </c>
      <c r="F81" s="16">
        <f>VLOOKUP(TRIM($B$4&amp;$A$66&amp;B81&amp;C81),raw_weights!A:H,7,false)
</f>
        <v>0.93</v>
      </c>
      <c r="G81" s="17">
        <f>VLOOKUP(TRIM($B$4&amp;$A$66&amp;B81&amp;C81),raw_weights!A:H,8,false)
</f>
        <v>0.15</v>
      </c>
      <c r="H81" s="2"/>
      <c r="I81" s="2"/>
      <c r="J81" s="2"/>
      <c r="K81" s="2"/>
      <c r="L81" s="2"/>
      <c r="M81" s="2"/>
      <c r="N81" s="2"/>
      <c r="O81" s="2"/>
      <c r="P81" s="2"/>
      <c r="Q81" s="2"/>
      <c r="R81" s="2"/>
      <c r="S81" s="2"/>
      <c r="T81" s="2"/>
      <c r="U81" s="2"/>
      <c r="V81" s="2"/>
      <c r="W81" s="2"/>
      <c r="X81" s="2"/>
      <c r="Y81" s="2"/>
      <c r="Z81" s="2"/>
      <c r="AA81" s="2"/>
    </row>
    <row r="82" hidden="1" outlineLevel="2">
      <c r="A82" s="18"/>
      <c r="B82" s="19"/>
      <c r="C82" s="13" t="str">
        <f>weights_editor!C80</f>
        <v>Identifying strengths</v>
      </c>
      <c r="D82" s="20" t="str">
        <f>VLOOKUP(TRIM($B$4&amp;$A$66&amp;$B$81&amp;C82),raw_weights!A:I,9,false)
</f>
        <v>You recognise natural strengths in your peers which you help them to nurture.</v>
      </c>
      <c r="E82" s="21">
        <v>3.0</v>
      </c>
      <c r="F82" s="16">
        <f>VLOOKUP(TRIM($B$4&amp;$A$66&amp;$B$81&amp;C82),raw_weights!A:H,7,false)
</f>
        <v>0.8</v>
      </c>
      <c r="G82" s="17">
        <f>VLOOKUP(TRIM($B$4&amp;$A$66&amp;$B$81&amp;C82),raw_weights!A:H,8,false)
</f>
        <v>0.3</v>
      </c>
      <c r="H82" s="2"/>
      <c r="I82" s="2"/>
      <c r="J82" s="2"/>
      <c r="K82" s="2"/>
      <c r="L82" s="2"/>
      <c r="M82" s="2"/>
      <c r="N82" s="2"/>
      <c r="O82" s="2"/>
      <c r="P82" s="2"/>
      <c r="Q82" s="2"/>
      <c r="R82" s="2"/>
      <c r="S82" s="2"/>
      <c r="T82" s="2"/>
      <c r="U82" s="2"/>
      <c r="V82" s="2"/>
      <c r="W82" s="2"/>
      <c r="X82" s="2"/>
      <c r="Y82" s="2"/>
      <c r="Z82" s="2"/>
      <c r="AA82" s="2"/>
    </row>
    <row r="83" hidden="1" outlineLevel="2">
      <c r="A83" s="18"/>
      <c r="B83" s="19"/>
      <c r="C83" s="13" t="str">
        <f>weights_editor!C81</f>
        <v>Supporting team growth</v>
      </c>
      <c r="D83" s="20" t="str">
        <f>VLOOKUP(TRIM($B$4&amp;$A$66&amp;$B$81&amp;C83),raw_weights!A:I,9,false)
</f>
        <v>You support and champion peers in their personal growth, celebrating a promotion, successful project or praise from others.</v>
      </c>
      <c r="E83" s="21">
        <v>1.0</v>
      </c>
      <c r="F83" s="16">
        <f>VLOOKUP(TRIM($B$4&amp;$A$66&amp;$B$81&amp;C83),raw_weights!A:H,7,false)
</f>
        <v>0.8</v>
      </c>
      <c r="G83" s="17">
        <f>VLOOKUP(TRIM($B$4&amp;$A$66&amp;$B$81&amp;C83),raw_weights!A:H,8,false)
</f>
        <v>0.4</v>
      </c>
      <c r="H83" s="2"/>
      <c r="I83" s="2"/>
      <c r="J83" s="2"/>
      <c r="K83" s="2"/>
      <c r="L83" s="2"/>
      <c r="M83" s="2"/>
      <c r="N83" s="2"/>
      <c r="O83" s="2"/>
      <c r="P83" s="2"/>
      <c r="Q83" s="2"/>
      <c r="R83" s="2"/>
      <c r="S83" s="2"/>
      <c r="T83" s="2"/>
      <c r="U83" s="2"/>
      <c r="V83" s="2"/>
      <c r="W83" s="2"/>
      <c r="X83" s="2"/>
      <c r="Y83" s="2"/>
      <c r="Z83" s="2"/>
      <c r="AA83" s="2"/>
    </row>
    <row r="84" hidden="1" outlineLevel="2">
      <c r="A84" s="18"/>
      <c r="B84" s="19"/>
      <c r="C84" s="13" t="str">
        <f>weights_editor!C82</f>
        <v>Investing in process</v>
      </c>
      <c r="D84" s="20" t="str">
        <f>VLOOKUP(TRIM($B$4&amp;$A$66&amp;$B$81&amp;C84),raw_weights!A:I,9,false)
</f>
        <v>You invest in your future through a process of skills assessment to define your future direction.</v>
      </c>
      <c r="E84" s="21">
        <v>2.0</v>
      </c>
      <c r="F84" s="16">
        <f>VLOOKUP(TRIM($B$4&amp;$A$66&amp;$B$81&amp;C84),raw_weights!A:H,7,false)
</f>
        <v>1.3</v>
      </c>
      <c r="G84" s="17">
        <f>VLOOKUP(TRIM($B$4&amp;$A$66&amp;$B$81&amp;C84),raw_weights!A:H,8,false)
</f>
        <v>0.2</v>
      </c>
      <c r="H84" s="2"/>
      <c r="I84" s="2"/>
      <c r="J84" s="2"/>
      <c r="K84" s="2"/>
      <c r="L84" s="2"/>
      <c r="M84" s="2"/>
      <c r="N84" s="2"/>
      <c r="O84" s="2"/>
      <c r="P84" s="2"/>
      <c r="Q84" s="2"/>
      <c r="R84" s="2"/>
      <c r="S84" s="2"/>
      <c r="T84" s="2"/>
      <c r="U84" s="2"/>
      <c r="V84" s="2"/>
      <c r="W84" s="2"/>
      <c r="X84" s="2"/>
      <c r="Y84" s="2"/>
      <c r="Z84" s="2"/>
      <c r="AA84" s="2"/>
    </row>
    <row r="85" hidden="1" outlineLevel="2">
      <c r="A85" s="18"/>
      <c r="B85" s="19"/>
      <c r="C85" s="13" t="str">
        <f>weights_editor!C83</f>
        <v>Feedback on work</v>
      </c>
      <c r="D85" s="20" t="str">
        <f>VLOOKUP(TRIM($B$4&amp;$A$66&amp;$B$81&amp;C85),raw_weights!A:I,9,false)
</f>
        <v>Your feedback to peers on their work is honest, actionable and timely.
You put the needs of the project over personal inhibitions.
You're comfortable with having your mind changed.</v>
      </c>
      <c r="E85" s="21">
        <v>3.0</v>
      </c>
      <c r="F85" s="16">
        <f>VLOOKUP(TRIM($B$4&amp;$A$66&amp;$B$81&amp;C85),raw_weights!A:H,7,false)
</f>
        <v>1.1</v>
      </c>
      <c r="G85" s="17">
        <f>VLOOKUP(TRIM($B$4&amp;$A$66&amp;$B$81&amp;C85),raw_weights!A:H,8,false)
</f>
        <v>0.1</v>
      </c>
      <c r="H85" s="2"/>
      <c r="I85" s="2"/>
      <c r="J85" s="2"/>
      <c r="K85" s="2"/>
      <c r="L85" s="2"/>
      <c r="M85" s="2"/>
      <c r="N85" s="2"/>
      <c r="O85" s="2"/>
      <c r="P85" s="2"/>
      <c r="Q85" s="2"/>
      <c r="R85" s="2"/>
      <c r="S85" s="2"/>
      <c r="T85" s="2"/>
      <c r="U85" s="2"/>
      <c r="V85" s="2"/>
      <c r="W85" s="2"/>
      <c r="X85" s="2"/>
      <c r="Y85" s="2"/>
      <c r="Z85" s="2"/>
      <c r="AA85" s="2"/>
    </row>
    <row r="86" hidden="1" outlineLevel="1" collapsed="1">
      <c r="A86" s="12"/>
      <c r="B86" s="13" t="str">
        <f>weights_editor!B84</f>
        <v>Culture &amp; Togetherness</v>
      </c>
      <c r="C86" s="14"/>
      <c r="D86" s="15" t="str">
        <f>VLOOKUP(TRIM($B$4&amp;$A$66&amp;B86&amp;C86),raw_weights!A:I,9,false)
</f>
        <v>The ability to bring groups together and foster a happy and productive environment.
Works to build and document behaviours they expect to see.
Has trusted relationships with both junior colleagues and peers, and can describe where the organisation is strong or needs development.
Organises regular team activities.</v>
      </c>
      <c r="E86" s="16">
        <f>E87*G87+E88*G88+E89*G89</f>
        <v>2.7</v>
      </c>
      <c r="F86" s="16">
        <f>VLOOKUP(TRIM($B$4&amp;$A$66&amp;B86&amp;C86),raw_weights!A:H,7,false)
</f>
        <v>1.66</v>
      </c>
      <c r="G86" s="17">
        <f>VLOOKUP(TRIM($B$4&amp;$A$66&amp;B86&amp;C86),raw_weights!A:H,8,false)
</f>
        <v>0.05</v>
      </c>
      <c r="H86" s="2"/>
      <c r="I86" s="2"/>
      <c r="J86" s="2"/>
      <c r="K86" s="2"/>
      <c r="L86" s="2"/>
      <c r="M86" s="2"/>
      <c r="N86" s="2"/>
      <c r="O86" s="2"/>
      <c r="P86" s="2"/>
      <c r="Q86" s="2"/>
      <c r="R86" s="2"/>
      <c r="S86" s="2"/>
      <c r="T86" s="2"/>
      <c r="U86" s="2"/>
      <c r="V86" s="2"/>
      <c r="W86" s="2"/>
      <c r="X86" s="2"/>
      <c r="Y86" s="2"/>
      <c r="Z86" s="2"/>
      <c r="AA86" s="2"/>
    </row>
    <row r="87" hidden="1" outlineLevel="2">
      <c r="A87" s="18"/>
      <c r="B87" s="19"/>
      <c r="C87" s="13" t="str">
        <f>weights_editor!C85</f>
        <v>Setting an Example</v>
      </c>
      <c r="D87" s="20" t="str">
        <f>VLOOKUP(TRIM($B$4&amp;$A$66&amp;$B$86&amp;C87),raw_weights!A:I,9,false)
</f>
        <v>You make an effort to document a cultural charter for your team, which you cite regularly and stick to rigorously.
If you break your rules, you expect to be called out.</v>
      </c>
      <c r="E87" s="21">
        <v>3.0</v>
      </c>
      <c r="F87" s="16">
        <f>VLOOKUP(TRIM($B$4&amp;$A$66&amp;$B$86&amp;C87),raw_weights!A:H,7,false)
</f>
        <v>2.1</v>
      </c>
      <c r="G87" s="17">
        <f>VLOOKUP(TRIM($B$4&amp;$A$66&amp;$B$86&amp;C87),raw_weights!A:H,8,false)
</f>
        <v>0.5</v>
      </c>
      <c r="H87" s="2"/>
      <c r="I87" s="2"/>
      <c r="J87" s="2"/>
      <c r="K87" s="2"/>
      <c r="L87" s="2"/>
      <c r="M87" s="2"/>
      <c r="N87" s="2"/>
      <c r="O87" s="2"/>
      <c r="P87" s="2"/>
      <c r="Q87" s="2"/>
      <c r="R87" s="2"/>
      <c r="S87" s="2"/>
      <c r="T87" s="2"/>
      <c r="U87" s="2"/>
      <c r="V87" s="2"/>
      <c r="W87" s="2"/>
      <c r="X87" s="2"/>
      <c r="Y87" s="2"/>
      <c r="Z87" s="2"/>
      <c r="AA87" s="2"/>
    </row>
    <row r="88" hidden="1" outlineLevel="2">
      <c r="A88" s="18"/>
      <c r="B88" s="19"/>
      <c r="C88" s="13" t="str">
        <f>weights_editor!C86</f>
        <v>Encouraging diverse opinions</v>
      </c>
      <c r="D88" s="20" t="str">
        <f>VLOOKUP(TRIM($B$4&amp;$A$66&amp;$B$86&amp;C88),raw_weights!A:I,9,false)
</f>
        <v>You're leading efforts to improve diversity in your everyday environment, organising working groups, events and discussion across large parts of your organisation.</v>
      </c>
      <c r="E88" s="21">
        <v>2.0</v>
      </c>
      <c r="F88" s="16">
        <f>VLOOKUP(TRIM($B$4&amp;$A$66&amp;$B$86&amp;C88),raw_weights!A:H,7,false)
</f>
        <v>1.1</v>
      </c>
      <c r="G88" s="17">
        <f>VLOOKUP(TRIM($B$4&amp;$A$66&amp;$B$86&amp;C88),raw_weights!A:H,8,false)
</f>
        <v>0.3</v>
      </c>
      <c r="H88" s="2"/>
      <c r="I88" s="2"/>
      <c r="J88" s="2"/>
      <c r="K88" s="2"/>
      <c r="L88" s="2"/>
      <c r="M88" s="2"/>
      <c r="N88" s="2"/>
      <c r="O88" s="2"/>
      <c r="P88" s="2"/>
      <c r="Q88" s="2"/>
      <c r="R88" s="2"/>
      <c r="S88" s="2"/>
      <c r="T88" s="2"/>
      <c r="U88" s="2"/>
      <c r="V88" s="2"/>
      <c r="W88" s="2"/>
      <c r="X88" s="2"/>
      <c r="Y88" s="2"/>
      <c r="Z88" s="2"/>
      <c r="AA88" s="2"/>
    </row>
    <row r="89" hidden="1" outlineLevel="2">
      <c r="A89" s="18"/>
      <c r="B89" s="19"/>
      <c r="C89" s="13" t="str">
        <f>weights_editor!C87</f>
        <v>Developing personal relationships</v>
      </c>
      <c r="D89" s="20" t="str">
        <f>VLOOKUP(TRIM($B$4&amp;$A$66&amp;$B$86&amp;C89),raw_weights!A:I,9,false)
</f>
        <v>You make a point of knowing all about the people who report directly to you.
You build close yet professional relationships with all direct reports fostering good levels of trust.</v>
      </c>
      <c r="E89" s="21">
        <v>3.0</v>
      </c>
      <c r="F89" s="16">
        <f>VLOOKUP(TRIM($B$4&amp;$A$66&amp;$B$86&amp;C89),raw_weights!A:H,7,false)
</f>
        <v>1.4</v>
      </c>
      <c r="G89" s="17">
        <f>VLOOKUP(TRIM($B$4&amp;$A$66&amp;$B$86&amp;C89),raw_weights!A:H,8,false)
</f>
        <v>0.2</v>
      </c>
      <c r="H89" s="2"/>
      <c r="I89" s="2"/>
      <c r="J89" s="2"/>
      <c r="K89" s="2"/>
      <c r="L89" s="2"/>
      <c r="M89" s="2"/>
      <c r="N89" s="2"/>
      <c r="O89" s="2"/>
      <c r="P89" s="2"/>
      <c r="Q89" s="2"/>
      <c r="R89" s="2"/>
      <c r="S89" s="2"/>
      <c r="T89" s="2"/>
      <c r="U89" s="2"/>
      <c r="V89" s="2"/>
      <c r="W89" s="2"/>
      <c r="X89" s="2"/>
      <c r="Y89" s="2"/>
      <c r="Z89" s="2"/>
      <c r="AA89" s="2"/>
    </row>
    <row r="90">
      <c r="A90" s="25" t="s">
        <v>16</v>
      </c>
      <c r="B90" s="26"/>
      <c r="C90" s="26"/>
      <c r="D90" s="27"/>
      <c r="E90" s="28"/>
      <c r="F90" s="29"/>
      <c r="G90" s="30">
        <f>SUM(G7,G44,G66)</f>
        <v>1</v>
      </c>
      <c r="H90" s="2"/>
      <c r="I90" s="2"/>
      <c r="J90" s="2"/>
      <c r="K90" s="2"/>
      <c r="L90" s="2"/>
      <c r="M90" s="2"/>
      <c r="N90" s="2"/>
      <c r="O90" s="2"/>
      <c r="P90" s="2"/>
      <c r="Q90" s="2"/>
      <c r="R90" s="2"/>
      <c r="S90" s="2"/>
      <c r="T90" s="2"/>
      <c r="U90" s="2"/>
      <c r="V90" s="2"/>
      <c r="W90" s="2"/>
      <c r="X90" s="2"/>
      <c r="Y90" s="2"/>
      <c r="Z90" s="2"/>
      <c r="AA90" s="2"/>
    </row>
    <row r="91">
      <c r="A91" s="2"/>
      <c r="B91" s="1"/>
      <c r="C91" s="1" t="s">
        <v>17</v>
      </c>
      <c r="D91" s="5"/>
      <c r="E91" s="9">
        <f>E7*G7</f>
        <v>0.903</v>
      </c>
      <c r="F91" s="9">
        <f>F7*G7</f>
        <v>1.5207</v>
      </c>
      <c r="G91" s="2"/>
      <c r="H91" s="2"/>
      <c r="I91" s="2"/>
      <c r="J91" s="2"/>
      <c r="K91" s="2"/>
      <c r="L91" s="2"/>
      <c r="M91" s="2"/>
      <c r="N91" s="2"/>
      <c r="O91" s="2"/>
      <c r="P91" s="2"/>
      <c r="Q91" s="2"/>
      <c r="R91" s="2"/>
      <c r="S91" s="2"/>
      <c r="T91" s="2"/>
      <c r="U91" s="2"/>
      <c r="V91" s="2"/>
      <c r="W91" s="2"/>
      <c r="X91" s="2"/>
      <c r="Y91" s="2"/>
      <c r="Z91" s="2"/>
      <c r="AA91" s="2"/>
    </row>
    <row r="92">
      <c r="A92" s="2"/>
      <c r="B92" s="1"/>
      <c r="C92" s="1" t="s">
        <v>18</v>
      </c>
      <c r="D92" s="5"/>
      <c r="E92" s="9">
        <f>E44*G44</f>
        <v>0.573</v>
      </c>
      <c r="F92" s="9">
        <f>F44*G44</f>
        <v>0.6792</v>
      </c>
      <c r="G92" s="2"/>
      <c r="H92" s="2"/>
      <c r="I92" s="2"/>
      <c r="J92" s="2"/>
      <c r="K92" s="2"/>
      <c r="L92" s="2"/>
      <c r="M92" s="2"/>
      <c r="N92" s="2"/>
      <c r="O92" s="2"/>
      <c r="P92" s="2"/>
      <c r="Q92" s="2"/>
      <c r="R92" s="2"/>
      <c r="S92" s="2"/>
      <c r="T92" s="2"/>
      <c r="U92" s="2"/>
      <c r="V92" s="2"/>
      <c r="W92" s="2"/>
      <c r="X92" s="2"/>
      <c r="Y92" s="2"/>
      <c r="Z92" s="2"/>
      <c r="AA92" s="2"/>
    </row>
    <row r="93">
      <c r="A93" s="2"/>
      <c r="B93" s="1"/>
      <c r="C93" s="1" t="s">
        <v>19</v>
      </c>
      <c r="D93" s="5"/>
      <c r="E93" s="9">
        <f>E66*G66</f>
        <v>0.2405</v>
      </c>
      <c r="F93" s="9">
        <f>F66*G66</f>
        <v>0.12755</v>
      </c>
      <c r="G93" s="2"/>
      <c r="H93" s="2"/>
      <c r="I93" s="2"/>
      <c r="J93" s="2"/>
      <c r="K93" s="2"/>
      <c r="L93" s="2"/>
      <c r="M93" s="2"/>
      <c r="N93" s="2"/>
      <c r="O93" s="2"/>
      <c r="P93" s="2"/>
      <c r="Q93" s="2"/>
      <c r="R93" s="2"/>
      <c r="S93" s="2"/>
      <c r="T93" s="2"/>
      <c r="U93" s="2"/>
      <c r="V93" s="2"/>
      <c r="W93" s="2"/>
      <c r="X93" s="2"/>
      <c r="Y93" s="2"/>
      <c r="Z93" s="2"/>
      <c r="AA93" s="2"/>
    </row>
    <row r="94">
      <c r="A94" s="2"/>
      <c r="B94" s="31"/>
      <c r="C94" s="2"/>
      <c r="D94" s="3"/>
      <c r="E94" s="32"/>
      <c r="F94" s="2"/>
      <c r="G94" s="2"/>
      <c r="H94" s="2"/>
      <c r="I94" s="2"/>
      <c r="J94" s="2"/>
      <c r="K94" s="2"/>
      <c r="L94" s="2"/>
      <c r="M94" s="2"/>
      <c r="N94" s="2"/>
      <c r="O94" s="2"/>
      <c r="P94" s="2"/>
      <c r="Q94" s="2"/>
      <c r="R94" s="2"/>
      <c r="S94" s="2"/>
      <c r="T94" s="2"/>
      <c r="U94" s="2"/>
      <c r="V94" s="2"/>
      <c r="W94" s="2"/>
      <c r="X94" s="2"/>
      <c r="Y94" s="2"/>
      <c r="Z94" s="2"/>
      <c r="AA94" s="2"/>
    </row>
    <row r="95">
      <c r="A95" s="2"/>
      <c r="C95" s="33" t="s">
        <v>20</v>
      </c>
      <c r="D95" s="34"/>
      <c r="E95" s="9">
        <f t="shared" ref="E95:F95" si="1">SUM(E91:E93)</f>
        <v>1.7165</v>
      </c>
      <c r="F95" s="9">
        <f t="shared" si="1"/>
        <v>2.32745</v>
      </c>
      <c r="G95" s="2"/>
      <c r="H95" s="2"/>
      <c r="I95" s="2"/>
      <c r="J95" s="2"/>
      <c r="K95" s="2"/>
      <c r="L95" s="2"/>
      <c r="M95" s="2"/>
      <c r="N95" s="2"/>
      <c r="O95" s="2"/>
      <c r="P95" s="2"/>
      <c r="Q95" s="2"/>
      <c r="R95" s="2"/>
      <c r="S95" s="2"/>
      <c r="T95" s="2"/>
      <c r="U95" s="2"/>
      <c r="V95" s="2"/>
      <c r="W95" s="2"/>
      <c r="X95" s="2"/>
      <c r="Y95" s="2"/>
      <c r="Z95" s="2"/>
      <c r="AA95" s="2"/>
    </row>
    <row r="96">
      <c r="A96" s="2"/>
      <c r="B96" s="1"/>
      <c r="C96" s="2"/>
      <c r="D96" s="3"/>
      <c r="E96" s="2"/>
      <c r="F96" s="2"/>
      <c r="G96" s="2"/>
      <c r="H96" s="2"/>
      <c r="I96" s="2"/>
      <c r="J96" s="2"/>
      <c r="K96" s="2"/>
      <c r="L96" s="2"/>
      <c r="M96" s="2"/>
      <c r="N96" s="2"/>
      <c r="O96" s="2"/>
      <c r="P96" s="2"/>
      <c r="Q96" s="2"/>
      <c r="R96" s="2"/>
      <c r="S96" s="2"/>
      <c r="T96" s="2"/>
      <c r="U96" s="2"/>
      <c r="V96" s="2"/>
      <c r="W96" s="2"/>
      <c r="X96" s="2"/>
      <c r="Y96" s="2"/>
      <c r="Z96" s="2"/>
      <c r="AA96" s="2"/>
    </row>
    <row r="97" ht="33.75" customHeight="1">
      <c r="A97" s="2"/>
      <c r="C97" s="35" t="s">
        <v>21</v>
      </c>
      <c r="D97" s="36"/>
      <c r="E97" s="37" t="str">
        <f>UPPER( IFS(
    F95=0, "N/A - No Role Model Rating",
    (E95/F95)*100 &lt; 70, "Improvements Needed",
    (E95/F95)*100 &lt; 90, "Developing Towards Great",
    (E95/F95)*100 &lt;= 110, "Great Contribution", 
    (E95/F95)*100 &gt; 110, "Outstanding Contribution"
  ))</f>
        <v>DEVELOPING TOWARDS GREAT</v>
      </c>
      <c r="F97" s="2"/>
      <c r="G97" s="2"/>
      <c r="H97" s="2"/>
      <c r="I97" s="2"/>
      <c r="J97" s="2"/>
      <c r="K97" s="2"/>
      <c r="L97" s="2"/>
      <c r="M97" s="2"/>
      <c r="N97" s="2"/>
      <c r="O97" s="2"/>
      <c r="P97" s="2"/>
      <c r="Q97" s="2"/>
      <c r="R97" s="2"/>
      <c r="S97" s="2"/>
      <c r="T97" s="2"/>
      <c r="U97" s="2"/>
      <c r="V97" s="2"/>
      <c r="W97" s="2"/>
      <c r="X97" s="2"/>
      <c r="Y97" s="2"/>
      <c r="Z97" s="2"/>
      <c r="AA97" s="2"/>
    </row>
    <row r="98">
      <c r="A98" s="2"/>
      <c r="B98" s="2"/>
      <c r="C98" s="2"/>
      <c r="D98" s="3"/>
      <c r="E98" s="2"/>
      <c r="F98" s="2"/>
      <c r="G98" s="2"/>
      <c r="H98" s="2"/>
      <c r="I98" s="2"/>
      <c r="J98" s="2"/>
      <c r="K98" s="2"/>
      <c r="L98" s="2"/>
      <c r="M98" s="2"/>
      <c r="N98" s="2"/>
      <c r="O98" s="2"/>
      <c r="P98" s="2"/>
      <c r="Q98" s="2"/>
      <c r="R98" s="2"/>
      <c r="S98" s="2"/>
      <c r="T98" s="2"/>
      <c r="U98" s="2"/>
      <c r="V98" s="2"/>
      <c r="W98" s="2"/>
      <c r="X98" s="2"/>
      <c r="Y98" s="2"/>
      <c r="Z98" s="2"/>
      <c r="AA98" s="2"/>
    </row>
    <row r="99">
      <c r="A99" s="38" t="s">
        <v>22</v>
      </c>
      <c r="B99" s="39"/>
      <c r="C99" s="39"/>
      <c r="D99" s="40"/>
      <c r="E99" s="39"/>
      <c r="F99" s="39"/>
      <c r="G99" s="39"/>
      <c r="H99" s="2"/>
      <c r="I99" s="2"/>
      <c r="J99" s="2"/>
      <c r="K99" s="2"/>
      <c r="L99" s="2"/>
      <c r="M99" s="2"/>
      <c r="N99" s="2"/>
      <c r="O99" s="2"/>
      <c r="P99" s="2"/>
      <c r="Q99" s="2"/>
      <c r="R99" s="2"/>
      <c r="S99" s="2"/>
      <c r="T99" s="2"/>
      <c r="U99" s="2"/>
      <c r="V99" s="2"/>
      <c r="W99" s="2"/>
      <c r="X99" s="2"/>
      <c r="Y99" s="2"/>
      <c r="Z99" s="2"/>
      <c r="AA99" s="2"/>
    </row>
    <row r="100">
      <c r="A100" s="41" t="s">
        <v>23</v>
      </c>
      <c r="B100" s="42"/>
      <c r="C100" s="43"/>
      <c r="D100" s="44"/>
      <c r="E100" s="45"/>
      <c r="F100" s="45"/>
      <c r="G100" s="45"/>
      <c r="I100" s="2"/>
      <c r="J100" s="2"/>
      <c r="K100" s="2"/>
      <c r="L100" s="2"/>
      <c r="M100" s="2"/>
      <c r="N100" s="2"/>
      <c r="O100" s="2"/>
      <c r="P100" s="2"/>
      <c r="Q100" s="2"/>
      <c r="R100" s="2"/>
      <c r="S100" s="2"/>
      <c r="T100" s="2"/>
      <c r="U100" s="2"/>
      <c r="V100" s="2"/>
      <c r="W100" s="2"/>
      <c r="X100" s="2"/>
      <c r="Y100" s="2"/>
      <c r="Z100" s="2"/>
      <c r="AA100" s="2"/>
    </row>
    <row r="101">
      <c r="A101" s="46"/>
      <c r="B101" s="47" t="s">
        <v>24</v>
      </c>
      <c r="C101" s="47"/>
      <c r="D101" s="48"/>
      <c r="E101" s="46"/>
      <c r="F101" s="46"/>
      <c r="G101" s="46"/>
      <c r="H101" s="1"/>
      <c r="I101" s="2"/>
      <c r="J101" s="2"/>
      <c r="K101" s="2"/>
      <c r="L101" s="2"/>
      <c r="M101" s="2"/>
      <c r="N101" s="2"/>
      <c r="O101" s="2"/>
      <c r="P101" s="2"/>
      <c r="Q101" s="2"/>
      <c r="R101" s="2"/>
      <c r="S101" s="2"/>
      <c r="T101" s="2"/>
      <c r="U101" s="2"/>
      <c r="V101" s="2"/>
      <c r="W101" s="2"/>
      <c r="X101" s="2"/>
      <c r="Y101" s="2"/>
      <c r="Z101" s="2"/>
      <c r="AA101" s="2"/>
    </row>
    <row r="102">
      <c r="A102" s="2"/>
      <c r="B102" s="1"/>
      <c r="C102" s="1" t="s">
        <v>25</v>
      </c>
      <c r="D102" s="5"/>
      <c r="E102" s="2"/>
      <c r="F102" s="2"/>
      <c r="G102" s="2"/>
      <c r="H102" s="1"/>
      <c r="I102" s="2"/>
      <c r="J102" s="2"/>
      <c r="K102" s="2"/>
      <c r="L102" s="2"/>
      <c r="M102" s="2"/>
      <c r="N102" s="2"/>
      <c r="O102" s="2"/>
      <c r="P102" s="2"/>
      <c r="Q102" s="2"/>
      <c r="R102" s="2"/>
      <c r="S102" s="2"/>
      <c r="T102" s="2"/>
      <c r="U102" s="2"/>
      <c r="V102" s="2"/>
      <c r="W102" s="2"/>
      <c r="X102" s="2"/>
      <c r="Y102" s="2"/>
      <c r="Z102" s="2"/>
      <c r="AA102" s="2"/>
    </row>
    <row r="103">
      <c r="A103" s="2"/>
      <c r="B103" s="1"/>
      <c r="C103" s="1" t="s">
        <v>26</v>
      </c>
      <c r="D103" s="5"/>
      <c r="E103" s="2"/>
      <c r="F103" s="2"/>
      <c r="G103" s="2"/>
      <c r="H103" s="1"/>
      <c r="I103" s="2"/>
      <c r="J103" s="2"/>
      <c r="K103" s="2"/>
      <c r="L103" s="2"/>
      <c r="M103" s="2"/>
      <c r="N103" s="2"/>
      <c r="O103" s="2"/>
      <c r="P103" s="2"/>
      <c r="Q103" s="2"/>
      <c r="R103" s="2"/>
      <c r="S103" s="2"/>
      <c r="T103" s="2"/>
      <c r="U103" s="2"/>
      <c r="V103" s="2"/>
      <c r="W103" s="2"/>
      <c r="X103" s="2"/>
      <c r="Y103" s="2"/>
      <c r="Z103" s="2"/>
      <c r="AA103" s="2"/>
    </row>
    <row r="104">
      <c r="A104" s="2"/>
      <c r="B104" s="1"/>
      <c r="C104" s="1" t="s">
        <v>27</v>
      </c>
      <c r="D104" s="5"/>
      <c r="E104" s="2"/>
      <c r="F104" s="2"/>
      <c r="G104" s="2"/>
      <c r="H104" s="1"/>
      <c r="I104" s="2"/>
      <c r="J104" s="2"/>
      <c r="K104" s="2"/>
      <c r="L104" s="2"/>
      <c r="M104" s="2"/>
      <c r="N104" s="2"/>
      <c r="O104" s="2"/>
      <c r="P104" s="2"/>
      <c r="Q104" s="2"/>
      <c r="R104" s="2"/>
      <c r="S104" s="2"/>
      <c r="T104" s="2"/>
      <c r="U104" s="2"/>
      <c r="V104" s="2"/>
      <c r="W104" s="2"/>
      <c r="X104" s="2"/>
      <c r="Y104" s="2"/>
      <c r="Z104" s="2"/>
      <c r="AA104" s="2"/>
    </row>
    <row r="105">
      <c r="A105" s="41" t="s">
        <v>28</v>
      </c>
      <c r="B105" s="42"/>
      <c r="C105" s="43"/>
      <c r="D105" s="44"/>
      <c r="E105" s="45"/>
      <c r="F105" s="45"/>
      <c r="G105" s="45"/>
      <c r="H105" s="1"/>
      <c r="I105" s="2"/>
      <c r="J105" s="2"/>
      <c r="K105" s="2"/>
      <c r="L105" s="2"/>
      <c r="M105" s="2"/>
      <c r="N105" s="2"/>
      <c r="O105" s="2"/>
      <c r="P105" s="2"/>
      <c r="Q105" s="2"/>
      <c r="R105" s="2"/>
      <c r="S105" s="2"/>
      <c r="T105" s="2"/>
      <c r="U105" s="2"/>
      <c r="V105" s="2"/>
      <c r="W105" s="2"/>
      <c r="X105" s="2"/>
      <c r="Y105" s="2"/>
      <c r="Z105" s="2"/>
      <c r="AA105" s="2"/>
    </row>
    <row r="106">
      <c r="A106" s="46"/>
      <c r="B106" s="47" t="s">
        <v>29</v>
      </c>
      <c r="C106" s="47"/>
      <c r="D106" s="48"/>
      <c r="E106" s="46"/>
      <c r="F106" s="46"/>
      <c r="G106" s="46"/>
      <c r="H106" s="1"/>
      <c r="I106" s="2"/>
      <c r="J106" s="2"/>
      <c r="K106" s="2"/>
      <c r="L106" s="2"/>
      <c r="M106" s="2"/>
      <c r="N106" s="2"/>
      <c r="O106" s="2"/>
      <c r="P106" s="2"/>
      <c r="Q106" s="2"/>
      <c r="R106" s="2"/>
      <c r="S106" s="2"/>
      <c r="T106" s="2"/>
      <c r="U106" s="2"/>
      <c r="V106" s="2"/>
      <c r="W106" s="2"/>
      <c r="X106" s="2"/>
      <c r="Y106" s="2"/>
      <c r="Z106" s="2"/>
      <c r="AA106" s="2"/>
    </row>
    <row r="107">
      <c r="A107" s="2"/>
      <c r="B107" s="1"/>
      <c r="C107" s="1" t="s">
        <v>30</v>
      </c>
      <c r="D107" s="5"/>
      <c r="E107" s="2"/>
      <c r="F107" s="2"/>
      <c r="G107" s="2"/>
      <c r="H107" s="1"/>
      <c r="I107" s="2"/>
      <c r="J107" s="2"/>
      <c r="K107" s="2"/>
      <c r="L107" s="2"/>
      <c r="M107" s="2"/>
      <c r="N107" s="2"/>
      <c r="O107" s="2"/>
      <c r="P107" s="2"/>
      <c r="Q107" s="2"/>
      <c r="R107" s="2"/>
      <c r="S107" s="2"/>
      <c r="T107" s="2"/>
      <c r="U107" s="2"/>
      <c r="V107" s="2"/>
      <c r="W107" s="2"/>
      <c r="X107" s="2"/>
      <c r="Y107" s="2"/>
      <c r="Z107" s="2"/>
      <c r="AA107" s="2"/>
    </row>
    <row r="108">
      <c r="A108" s="2"/>
      <c r="B108" s="1"/>
      <c r="C108" s="1" t="s">
        <v>31</v>
      </c>
      <c r="D108" s="5"/>
      <c r="E108" s="2"/>
      <c r="F108" s="2"/>
      <c r="G108" s="2"/>
      <c r="H108" s="1"/>
      <c r="I108" s="2"/>
      <c r="J108" s="2"/>
      <c r="K108" s="2"/>
      <c r="L108" s="2"/>
      <c r="M108" s="2"/>
      <c r="N108" s="2"/>
      <c r="O108" s="2"/>
      <c r="P108" s="2"/>
      <c r="Q108" s="2"/>
      <c r="R108" s="2"/>
      <c r="S108" s="2"/>
      <c r="T108" s="2"/>
      <c r="U108" s="2"/>
      <c r="V108" s="2"/>
      <c r="W108" s="2"/>
      <c r="X108" s="2"/>
      <c r="Y108" s="2"/>
      <c r="Z108" s="2"/>
      <c r="AA108" s="2"/>
    </row>
    <row r="109">
      <c r="A109" s="2"/>
      <c r="B109" s="1"/>
      <c r="C109" s="1" t="s">
        <v>32</v>
      </c>
      <c r="D109" s="5"/>
      <c r="E109" s="2"/>
      <c r="F109" s="2"/>
      <c r="G109" s="2"/>
      <c r="H109" s="1"/>
      <c r="I109" s="2"/>
      <c r="J109" s="2"/>
      <c r="K109" s="2"/>
      <c r="L109" s="2"/>
      <c r="M109" s="2"/>
      <c r="N109" s="2"/>
      <c r="O109" s="2"/>
      <c r="P109" s="2"/>
      <c r="Q109" s="2"/>
      <c r="R109" s="2"/>
      <c r="S109" s="2"/>
      <c r="T109" s="2"/>
      <c r="U109" s="2"/>
      <c r="V109" s="2"/>
      <c r="W109" s="2"/>
      <c r="X109" s="2"/>
      <c r="Y109" s="2"/>
      <c r="Z109" s="2"/>
      <c r="AA109" s="2"/>
    </row>
    <row r="110">
      <c r="A110" s="41" t="s">
        <v>33</v>
      </c>
      <c r="B110" s="42"/>
      <c r="C110" s="43"/>
      <c r="D110" s="44"/>
      <c r="E110" s="45"/>
      <c r="F110" s="45"/>
      <c r="G110" s="45"/>
      <c r="H110" s="1"/>
      <c r="I110" s="2"/>
      <c r="J110" s="2"/>
      <c r="K110" s="2"/>
      <c r="L110" s="2"/>
      <c r="M110" s="2"/>
      <c r="N110" s="2"/>
      <c r="O110" s="2"/>
      <c r="P110" s="2"/>
      <c r="Q110" s="2"/>
      <c r="R110" s="2"/>
      <c r="S110" s="2"/>
      <c r="T110" s="2"/>
      <c r="U110" s="2"/>
      <c r="V110" s="2"/>
      <c r="W110" s="2"/>
      <c r="X110" s="2"/>
      <c r="Y110" s="2"/>
      <c r="Z110" s="2"/>
      <c r="AA110" s="2"/>
    </row>
    <row r="111">
      <c r="A111" s="46"/>
      <c r="B111" s="47" t="s">
        <v>34</v>
      </c>
      <c r="C111" s="47"/>
      <c r="D111" s="48"/>
      <c r="E111" s="46"/>
      <c r="F111" s="46"/>
      <c r="G111" s="46"/>
      <c r="H111" s="1"/>
      <c r="I111" s="2"/>
      <c r="J111" s="2"/>
      <c r="K111" s="2"/>
      <c r="L111" s="2"/>
      <c r="M111" s="2"/>
      <c r="N111" s="2"/>
      <c r="O111" s="2"/>
      <c r="P111" s="2"/>
      <c r="Q111" s="2"/>
      <c r="R111" s="2"/>
      <c r="S111" s="2"/>
      <c r="T111" s="2"/>
      <c r="U111" s="2"/>
      <c r="V111" s="2"/>
      <c r="W111" s="2"/>
      <c r="X111" s="2"/>
      <c r="Y111" s="2"/>
      <c r="Z111" s="2"/>
      <c r="AA111" s="2"/>
    </row>
    <row r="112">
      <c r="A112" s="2"/>
      <c r="B112" s="1"/>
      <c r="C112" s="1" t="s">
        <v>35</v>
      </c>
      <c r="D112" s="5"/>
      <c r="E112" s="2"/>
      <c r="F112" s="2"/>
      <c r="G112" s="2"/>
      <c r="H112" s="1"/>
      <c r="I112" s="2"/>
      <c r="J112" s="2"/>
      <c r="K112" s="2"/>
      <c r="L112" s="2"/>
      <c r="M112" s="2"/>
      <c r="N112" s="2"/>
      <c r="O112" s="2"/>
      <c r="P112" s="2"/>
      <c r="Q112" s="2"/>
      <c r="R112" s="2"/>
      <c r="S112" s="2"/>
      <c r="T112" s="2"/>
      <c r="U112" s="2"/>
      <c r="V112" s="2"/>
      <c r="W112" s="2"/>
      <c r="X112" s="2"/>
      <c r="Y112" s="2"/>
      <c r="Z112" s="2"/>
      <c r="AA112" s="2"/>
    </row>
    <row r="113">
      <c r="A113" s="2"/>
      <c r="B113" s="1"/>
      <c r="C113" s="1" t="s">
        <v>36</v>
      </c>
      <c r="D113" s="5"/>
      <c r="E113" s="2"/>
      <c r="F113" s="2"/>
      <c r="G113" s="2"/>
      <c r="H113" s="1"/>
      <c r="I113" s="2"/>
      <c r="J113" s="2"/>
      <c r="K113" s="2"/>
      <c r="L113" s="2"/>
      <c r="M113" s="2"/>
      <c r="N113" s="2"/>
      <c r="O113" s="2"/>
      <c r="P113" s="2"/>
      <c r="Q113" s="2"/>
      <c r="R113" s="2"/>
      <c r="S113" s="2"/>
      <c r="T113" s="2"/>
      <c r="U113" s="2"/>
      <c r="V113" s="2"/>
      <c r="W113" s="2"/>
      <c r="X113" s="2"/>
      <c r="Y113" s="2"/>
      <c r="Z113" s="2"/>
      <c r="AA113" s="2"/>
    </row>
    <row r="114">
      <c r="A114" s="2"/>
      <c r="B114" s="1"/>
      <c r="C114" s="1" t="s">
        <v>37</v>
      </c>
      <c r="D114" s="5"/>
      <c r="E114" s="2"/>
      <c r="F114" s="2"/>
      <c r="G114" s="2"/>
      <c r="H114" s="1"/>
      <c r="I114" s="2"/>
      <c r="J114" s="2"/>
      <c r="K114" s="2"/>
      <c r="L114" s="2"/>
      <c r="M114" s="2"/>
      <c r="N114" s="2"/>
      <c r="O114" s="2"/>
      <c r="P114" s="2"/>
      <c r="Q114" s="2"/>
      <c r="R114" s="2"/>
      <c r="S114" s="2"/>
      <c r="T114" s="2"/>
      <c r="U114" s="2"/>
      <c r="V114" s="2"/>
      <c r="W114" s="2"/>
      <c r="X114" s="2"/>
      <c r="Y114" s="2"/>
      <c r="Z114" s="2"/>
      <c r="AA114" s="2"/>
    </row>
    <row r="115">
      <c r="A115" s="41" t="s">
        <v>38</v>
      </c>
      <c r="B115" s="42"/>
      <c r="C115" s="42"/>
      <c r="D115" s="49"/>
      <c r="E115" s="45"/>
      <c r="F115" s="45"/>
      <c r="G115" s="45"/>
      <c r="H115" s="1"/>
      <c r="I115" s="2"/>
      <c r="J115" s="2"/>
      <c r="K115" s="2"/>
      <c r="L115" s="2"/>
      <c r="M115" s="2"/>
      <c r="N115" s="2"/>
      <c r="O115" s="2"/>
      <c r="P115" s="2"/>
      <c r="Q115" s="2"/>
      <c r="R115" s="2"/>
      <c r="S115" s="2"/>
      <c r="T115" s="2"/>
      <c r="U115" s="2"/>
      <c r="V115" s="2"/>
      <c r="W115" s="2"/>
      <c r="X115" s="2"/>
      <c r="Y115" s="2"/>
      <c r="Z115" s="2"/>
      <c r="AA115" s="2"/>
    </row>
    <row r="116">
      <c r="A116" s="46"/>
      <c r="B116" s="47" t="s">
        <v>39</v>
      </c>
      <c r="C116" s="47"/>
      <c r="D116" s="48"/>
      <c r="E116" s="46"/>
      <c r="F116" s="46"/>
      <c r="G116" s="46"/>
      <c r="H116" s="1"/>
      <c r="I116" s="2"/>
      <c r="J116" s="2"/>
      <c r="K116" s="2"/>
      <c r="L116" s="2"/>
      <c r="M116" s="2"/>
      <c r="N116" s="2"/>
      <c r="O116" s="2"/>
      <c r="P116" s="2"/>
      <c r="Q116" s="2"/>
      <c r="R116" s="2"/>
      <c r="S116" s="2"/>
      <c r="T116" s="2"/>
      <c r="U116" s="2"/>
      <c r="V116" s="2"/>
      <c r="W116" s="2"/>
      <c r="X116" s="2"/>
      <c r="Y116" s="2"/>
      <c r="Z116" s="2"/>
      <c r="AA116" s="2"/>
    </row>
    <row r="117">
      <c r="A117" s="2"/>
      <c r="B117" s="1"/>
      <c r="C117" s="1" t="s">
        <v>40</v>
      </c>
      <c r="D117" s="5"/>
      <c r="E117" s="2"/>
      <c r="F117" s="2"/>
      <c r="G117" s="2"/>
      <c r="H117" s="1"/>
      <c r="I117" s="2"/>
      <c r="J117" s="2"/>
      <c r="K117" s="2"/>
      <c r="L117" s="2"/>
      <c r="M117" s="2"/>
      <c r="N117" s="2"/>
      <c r="O117" s="2"/>
      <c r="P117" s="2"/>
      <c r="Q117" s="2"/>
      <c r="R117" s="2"/>
      <c r="S117" s="2"/>
      <c r="T117" s="2"/>
      <c r="U117" s="2"/>
      <c r="V117" s="2"/>
      <c r="W117" s="2"/>
      <c r="X117" s="2"/>
      <c r="Y117" s="2"/>
      <c r="Z117" s="2"/>
      <c r="AA117" s="2"/>
    </row>
    <row r="118">
      <c r="A118" s="2"/>
      <c r="B118" s="1"/>
      <c r="C118" s="1" t="s">
        <v>41</v>
      </c>
      <c r="D118" s="5"/>
      <c r="E118" s="2"/>
      <c r="F118" s="2"/>
      <c r="G118" s="2"/>
      <c r="H118" s="1"/>
      <c r="I118" s="2"/>
      <c r="J118" s="2"/>
      <c r="K118" s="2"/>
      <c r="L118" s="2"/>
      <c r="M118" s="2"/>
      <c r="N118" s="2"/>
      <c r="O118" s="2"/>
      <c r="P118" s="2"/>
      <c r="Q118" s="2"/>
      <c r="R118" s="2"/>
      <c r="S118" s="2"/>
      <c r="T118" s="2"/>
      <c r="U118" s="2"/>
      <c r="V118" s="2"/>
      <c r="W118" s="2"/>
      <c r="X118" s="2"/>
      <c r="Y118" s="2"/>
      <c r="Z118" s="2"/>
      <c r="AA118" s="2"/>
    </row>
    <row r="119">
      <c r="A119" s="2"/>
      <c r="B119" s="1"/>
      <c r="C119" s="1" t="s">
        <v>42</v>
      </c>
      <c r="D119" s="5"/>
      <c r="E119" s="2"/>
      <c r="F119" s="2"/>
      <c r="G119" s="2"/>
      <c r="H119" s="1"/>
      <c r="I119" s="2"/>
      <c r="J119" s="2"/>
      <c r="K119" s="2"/>
      <c r="L119" s="2"/>
      <c r="M119" s="2"/>
      <c r="N119" s="2"/>
      <c r="O119" s="2"/>
      <c r="P119" s="2"/>
      <c r="Q119" s="2"/>
      <c r="R119" s="2"/>
      <c r="S119" s="2"/>
      <c r="T119" s="2"/>
      <c r="U119" s="2"/>
      <c r="V119" s="2"/>
      <c r="W119" s="2"/>
      <c r="X119" s="2"/>
      <c r="Y119" s="2"/>
      <c r="Z119" s="2"/>
      <c r="AA119" s="2"/>
    </row>
    <row r="120">
      <c r="A120" s="50"/>
      <c r="B120" s="50"/>
      <c r="C120" s="50"/>
      <c r="D120" s="51"/>
      <c r="E120" s="50"/>
      <c r="F120" s="50"/>
      <c r="G120" s="50"/>
      <c r="H120" s="2"/>
      <c r="I120" s="2"/>
      <c r="J120" s="2"/>
      <c r="K120" s="2"/>
      <c r="L120" s="2"/>
      <c r="M120" s="2"/>
      <c r="N120" s="2"/>
      <c r="O120" s="2"/>
      <c r="P120" s="2"/>
      <c r="Q120" s="2"/>
      <c r="R120" s="2"/>
      <c r="S120" s="2"/>
      <c r="T120" s="2"/>
      <c r="U120" s="2"/>
      <c r="V120" s="2"/>
      <c r="W120" s="2"/>
      <c r="X120" s="2"/>
      <c r="Y120" s="2"/>
      <c r="Z120" s="2"/>
      <c r="AA120" s="2"/>
    </row>
    <row r="121">
      <c r="A121" s="1" t="s">
        <v>43</v>
      </c>
      <c r="B121" s="2"/>
      <c r="C121" s="2"/>
      <c r="D121" s="3"/>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1" t="s">
        <v>44</v>
      </c>
      <c r="C122" s="2"/>
      <c r="D122" s="3"/>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1" t="s">
        <v>45</v>
      </c>
      <c r="C123" s="2"/>
      <c r="D123" s="3"/>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1" t="s">
        <v>46</v>
      </c>
      <c r="C124" s="2"/>
      <c r="D124" s="3"/>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3"/>
      <c r="E125" s="2"/>
      <c r="F125" s="2"/>
      <c r="G125" s="2"/>
      <c r="H125" s="2"/>
      <c r="I125" s="2"/>
      <c r="J125" s="2"/>
      <c r="K125" s="2"/>
      <c r="L125" s="2"/>
      <c r="M125" s="2"/>
      <c r="N125" s="2"/>
      <c r="O125" s="2"/>
      <c r="P125" s="2"/>
      <c r="Q125" s="2"/>
      <c r="R125" s="2"/>
      <c r="S125" s="2"/>
      <c r="T125" s="2"/>
      <c r="U125" s="2"/>
      <c r="V125" s="2"/>
      <c r="W125" s="2"/>
      <c r="X125" s="2"/>
      <c r="Y125" s="2"/>
      <c r="Z125" s="2"/>
      <c r="AA125" s="2"/>
    </row>
    <row r="126">
      <c r="A126" s="1" t="s">
        <v>47</v>
      </c>
      <c r="B126" s="2"/>
      <c r="C126" s="2"/>
      <c r="D126" s="3"/>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1" t="s">
        <v>48</v>
      </c>
      <c r="C127" s="2"/>
      <c r="D127" s="3"/>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1" t="s">
        <v>49</v>
      </c>
      <c r="C128" s="2"/>
      <c r="D128" s="3"/>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1" t="s">
        <v>50</v>
      </c>
      <c r="C129" s="2"/>
      <c r="D129" s="3"/>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3"/>
      <c r="E130" s="2"/>
      <c r="F130" s="2"/>
      <c r="G130" s="2"/>
      <c r="H130" s="2"/>
      <c r="I130" s="2"/>
      <c r="J130" s="2"/>
      <c r="K130" s="2"/>
      <c r="L130" s="2"/>
      <c r="M130" s="2"/>
      <c r="N130" s="2"/>
      <c r="O130" s="2"/>
      <c r="P130" s="2"/>
      <c r="Q130" s="2"/>
      <c r="R130" s="2"/>
      <c r="S130" s="2"/>
      <c r="T130" s="2"/>
      <c r="U130" s="2"/>
      <c r="V130" s="2"/>
      <c r="W130" s="2"/>
      <c r="X130" s="2"/>
      <c r="Y130" s="2"/>
      <c r="Z130" s="2"/>
      <c r="AA130" s="2"/>
    </row>
    <row r="131">
      <c r="A131" s="1" t="s">
        <v>51</v>
      </c>
      <c r="B131" s="2"/>
      <c r="C131" s="1" t="s">
        <v>10</v>
      </c>
      <c r="D131" s="5"/>
      <c r="E131" s="1" t="s">
        <v>52</v>
      </c>
      <c r="F131" s="1"/>
      <c r="G131" s="1" t="s">
        <v>53</v>
      </c>
      <c r="H131" s="2"/>
      <c r="I131" s="2"/>
      <c r="J131" s="2"/>
      <c r="K131" s="2"/>
      <c r="L131" s="2"/>
      <c r="M131" s="2"/>
      <c r="N131" s="2"/>
      <c r="O131" s="2"/>
      <c r="P131" s="2"/>
      <c r="Q131" s="2"/>
      <c r="R131" s="2"/>
      <c r="S131" s="2"/>
      <c r="T131" s="2"/>
      <c r="U131" s="2"/>
      <c r="V131" s="2"/>
      <c r="W131" s="2"/>
      <c r="X131" s="2"/>
      <c r="Y131" s="2"/>
      <c r="Z131" s="2"/>
      <c r="AA131" s="2"/>
    </row>
    <row r="132">
      <c r="A132" s="2"/>
      <c r="B132" s="1" t="s">
        <v>54</v>
      </c>
      <c r="C132" s="1"/>
      <c r="D132" s="5"/>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1" t="s">
        <v>55</v>
      </c>
      <c r="C133" s="1"/>
      <c r="D133" s="5"/>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1" t="s">
        <v>56</v>
      </c>
      <c r="C134" s="1"/>
      <c r="D134" s="5"/>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3"/>
      <c r="E135" s="2"/>
      <c r="F135" s="2"/>
      <c r="G135" s="2"/>
      <c r="H135" s="2"/>
      <c r="I135" s="2"/>
      <c r="J135" s="2"/>
      <c r="K135" s="2"/>
      <c r="L135" s="2"/>
      <c r="M135" s="2"/>
      <c r="N135" s="2"/>
      <c r="O135" s="2"/>
      <c r="P135" s="2"/>
      <c r="Q135" s="2"/>
      <c r="R135" s="2"/>
      <c r="S135" s="2"/>
      <c r="T135" s="2"/>
      <c r="U135" s="2"/>
      <c r="V135" s="2"/>
      <c r="W135" s="2"/>
      <c r="X135" s="2"/>
      <c r="Y135" s="2"/>
      <c r="Z135" s="2"/>
      <c r="AA135" s="2"/>
    </row>
    <row r="136">
      <c r="A136" s="1" t="s">
        <v>57</v>
      </c>
      <c r="B136" s="2"/>
      <c r="C136" s="2"/>
      <c r="D136" s="3"/>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1" t="s">
        <v>58</v>
      </c>
      <c r="C137" s="2"/>
      <c r="D137" s="3"/>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1" t="s">
        <v>59</v>
      </c>
      <c r="C138" s="2"/>
      <c r="D138" s="3"/>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1" t="s">
        <v>60</v>
      </c>
      <c r="C139" s="2"/>
      <c r="D139" s="3"/>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1" t="s">
        <v>61</v>
      </c>
      <c r="C140" s="2"/>
      <c r="D140" s="3"/>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1" t="s">
        <v>62</v>
      </c>
      <c r="C141" s="2"/>
      <c r="D141" s="3"/>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3"/>
      <c r="E142" s="2"/>
      <c r="F142" s="2"/>
      <c r="G142" s="2"/>
      <c r="H142" s="2"/>
      <c r="I142" s="2"/>
      <c r="J142" s="2"/>
      <c r="K142" s="2"/>
      <c r="L142" s="2"/>
      <c r="M142" s="2"/>
      <c r="N142" s="2"/>
      <c r="O142" s="2"/>
      <c r="P142" s="2"/>
      <c r="Q142" s="2"/>
      <c r="R142" s="2"/>
      <c r="S142" s="2"/>
      <c r="T142" s="2"/>
      <c r="U142" s="2"/>
      <c r="V142" s="2"/>
      <c r="W142" s="2"/>
      <c r="X142" s="2"/>
      <c r="Y142" s="2"/>
      <c r="Z142" s="2"/>
      <c r="AA142" s="2"/>
    </row>
    <row r="143">
      <c r="A143" s="1" t="s">
        <v>63</v>
      </c>
      <c r="B143" s="2"/>
      <c r="C143" s="2"/>
      <c r="D143" s="3"/>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1" t="s">
        <v>64</v>
      </c>
      <c r="C144" s="2"/>
      <c r="D144" s="3"/>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1" t="s">
        <v>65</v>
      </c>
      <c r="C145" s="2"/>
      <c r="D145" s="3"/>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1" t="s">
        <v>66</v>
      </c>
      <c r="C146" s="2"/>
      <c r="D146" s="3"/>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1" t="s">
        <v>67</v>
      </c>
      <c r="C147" s="2"/>
      <c r="D147" s="3"/>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3"/>
      <c r="E148" s="2"/>
      <c r="F148" s="2"/>
      <c r="G148" s="2"/>
      <c r="H148" s="2"/>
      <c r="I148" s="2"/>
      <c r="J148" s="2"/>
      <c r="K148" s="2"/>
      <c r="L148" s="2"/>
      <c r="M148" s="2"/>
      <c r="N148" s="2"/>
      <c r="O148" s="2"/>
      <c r="P148" s="2"/>
      <c r="Q148" s="2"/>
      <c r="R148" s="2"/>
      <c r="S148" s="2"/>
      <c r="T148" s="2"/>
      <c r="U148" s="2"/>
      <c r="V148" s="2"/>
      <c r="W148" s="2"/>
      <c r="X148" s="2"/>
      <c r="Y148" s="2"/>
      <c r="Z148" s="2"/>
      <c r="AA148" s="2"/>
    </row>
    <row r="149">
      <c r="A149" s="1" t="s">
        <v>68</v>
      </c>
      <c r="B149" s="2"/>
      <c r="C149" s="2"/>
      <c r="D149" s="3"/>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1" t="s">
        <v>69</v>
      </c>
      <c r="C150" s="1" t="s">
        <v>70</v>
      </c>
      <c r="D150" s="5"/>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1" t="s">
        <v>71</v>
      </c>
      <c r="C151" s="1" t="s">
        <v>70</v>
      </c>
      <c r="D151" s="5"/>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1" t="s">
        <v>72</v>
      </c>
      <c r="C152" s="1" t="s">
        <v>70</v>
      </c>
      <c r="D152" s="5"/>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3"/>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3"/>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3"/>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3"/>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3"/>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3"/>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3"/>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3"/>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3"/>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3"/>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3"/>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3"/>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3"/>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3"/>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3"/>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3"/>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3"/>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3"/>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3"/>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3"/>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3"/>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3"/>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3"/>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3"/>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3"/>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3"/>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3"/>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3"/>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3"/>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3"/>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3"/>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3"/>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3"/>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3"/>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3"/>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3"/>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3"/>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3"/>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3"/>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3"/>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3"/>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3"/>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3"/>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3"/>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3"/>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3"/>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3"/>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3"/>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3"/>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3"/>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3"/>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3"/>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3"/>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3"/>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3"/>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3"/>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3"/>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3"/>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3"/>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3"/>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3"/>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3"/>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3"/>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3"/>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3"/>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3"/>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3"/>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3"/>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3"/>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3"/>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3"/>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3"/>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3"/>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3"/>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3"/>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3"/>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3"/>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3"/>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3"/>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3"/>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3"/>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3"/>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3"/>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3"/>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3"/>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3"/>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3"/>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3"/>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3"/>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3"/>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3"/>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3"/>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3"/>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3"/>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3"/>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3"/>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3"/>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3"/>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3"/>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3"/>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3"/>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3"/>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3"/>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3"/>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3"/>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3"/>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3"/>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3"/>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3"/>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3"/>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3"/>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3"/>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3"/>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3"/>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3"/>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3"/>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3"/>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3"/>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3"/>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3"/>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3"/>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3"/>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3"/>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3"/>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3"/>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3"/>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3"/>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3"/>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3"/>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3"/>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3"/>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3"/>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3"/>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3"/>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3"/>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3"/>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3"/>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3"/>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3"/>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3"/>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3"/>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3"/>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3"/>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3"/>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3"/>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3"/>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3"/>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3"/>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3"/>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3"/>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3"/>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3"/>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3"/>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3"/>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3"/>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3"/>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3"/>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3"/>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3"/>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3"/>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3"/>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3"/>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3"/>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3"/>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3"/>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3"/>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3"/>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3"/>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3"/>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3"/>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3"/>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3"/>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3"/>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3"/>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3"/>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3"/>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3"/>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3"/>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3"/>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3"/>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3"/>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3"/>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3"/>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3"/>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3"/>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3"/>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3"/>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3"/>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3"/>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3"/>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3"/>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3"/>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3"/>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3"/>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3"/>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3"/>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3"/>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3"/>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3"/>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3"/>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3"/>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3"/>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3"/>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3"/>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3"/>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3"/>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3"/>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3"/>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3"/>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3"/>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3"/>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3"/>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3"/>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3"/>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3"/>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3"/>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3"/>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3"/>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3"/>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3"/>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3"/>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3"/>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3"/>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3"/>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3"/>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3"/>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3"/>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3"/>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3"/>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3"/>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3"/>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3"/>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3"/>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3"/>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3"/>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3"/>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3"/>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3"/>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3"/>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3"/>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3"/>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3"/>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3"/>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3"/>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3"/>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3"/>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3"/>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3"/>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3"/>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3"/>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3"/>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3"/>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3"/>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3"/>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3"/>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3"/>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3"/>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3"/>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3"/>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3"/>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3"/>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3"/>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3"/>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3"/>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3"/>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3"/>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3"/>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3"/>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3"/>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3"/>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3"/>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3"/>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3"/>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3"/>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3"/>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3"/>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3"/>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3"/>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3"/>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3"/>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3"/>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3"/>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3"/>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3"/>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3"/>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3"/>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3"/>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3"/>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3"/>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3"/>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3"/>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3"/>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3"/>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3"/>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3"/>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3"/>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3"/>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3"/>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3"/>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3"/>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3"/>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3"/>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3"/>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3"/>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3"/>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3"/>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3"/>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3"/>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3"/>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3"/>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3"/>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3"/>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3"/>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3"/>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3"/>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3"/>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3"/>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3"/>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3"/>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3"/>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3"/>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3"/>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3"/>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3"/>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3"/>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3"/>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3"/>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3"/>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3"/>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3"/>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3"/>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3"/>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3"/>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3"/>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3"/>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3"/>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3"/>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3"/>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3"/>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3"/>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3"/>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3"/>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3"/>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3"/>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3"/>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3"/>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3"/>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3"/>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3"/>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3"/>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3"/>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3"/>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3"/>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3"/>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3"/>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3"/>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3"/>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3"/>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3"/>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3"/>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3"/>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3"/>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3"/>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3"/>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3"/>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3"/>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3"/>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3"/>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3"/>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3"/>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3"/>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3"/>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3"/>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3"/>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3"/>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3"/>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3"/>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3"/>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3"/>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3"/>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3"/>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3"/>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3"/>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3"/>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3"/>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3"/>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3"/>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3"/>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3"/>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3"/>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3"/>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3"/>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3"/>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3"/>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3"/>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3"/>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3"/>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3"/>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3"/>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3"/>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3"/>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3"/>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3"/>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3"/>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3"/>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3"/>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3"/>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3"/>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3"/>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3"/>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3"/>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3"/>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3"/>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3"/>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3"/>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3"/>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3"/>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3"/>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3"/>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3"/>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3"/>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3"/>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3"/>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3"/>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3"/>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3"/>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3"/>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3"/>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3"/>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3"/>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3"/>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3"/>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3"/>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3"/>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3"/>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3"/>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3"/>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3"/>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3"/>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3"/>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3"/>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3"/>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3"/>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3"/>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3"/>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3"/>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3"/>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3"/>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3"/>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3"/>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3"/>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3"/>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3"/>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3"/>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3"/>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3"/>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3"/>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3"/>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3"/>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3"/>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3"/>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3"/>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3"/>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3"/>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3"/>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3"/>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3"/>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3"/>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3"/>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3"/>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3"/>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3"/>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3"/>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3"/>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3"/>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3"/>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3"/>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3"/>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3"/>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3"/>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3"/>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3"/>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3"/>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3"/>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3"/>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3"/>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3"/>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3"/>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3"/>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3"/>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3"/>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3"/>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3"/>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3"/>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3"/>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3"/>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3"/>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3"/>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3"/>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3"/>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3"/>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3"/>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3"/>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3"/>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3"/>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3"/>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3"/>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3"/>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3"/>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3"/>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3"/>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3"/>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3"/>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3"/>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3"/>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3"/>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3"/>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3"/>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3"/>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3"/>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3"/>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3"/>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3"/>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3"/>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3"/>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3"/>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3"/>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3"/>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3"/>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3"/>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3"/>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3"/>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3"/>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3"/>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3"/>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3"/>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3"/>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3"/>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3"/>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3"/>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3"/>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3"/>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3"/>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3"/>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3"/>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3"/>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3"/>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3"/>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3"/>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3"/>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3"/>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3"/>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3"/>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3"/>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3"/>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3"/>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3"/>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3"/>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3"/>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3"/>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3"/>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3"/>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3"/>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3"/>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3"/>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3"/>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3"/>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3"/>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3"/>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3"/>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3"/>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3"/>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3"/>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3"/>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3"/>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3"/>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3"/>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3"/>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3"/>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3"/>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3"/>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3"/>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3"/>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3"/>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3"/>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3"/>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3"/>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3"/>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3"/>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3"/>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3"/>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3"/>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3"/>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3"/>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3"/>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3"/>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3"/>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3"/>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3"/>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3"/>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3"/>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3"/>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3"/>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3"/>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3"/>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3"/>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3"/>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3"/>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3"/>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3"/>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3"/>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3"/>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3"/>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3"/>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3"/>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3"/>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3"/>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3"/>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3"/>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3"/>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3"/>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3"/>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3"/>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3"/>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3"/>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3"/>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3"/>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3"/>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3"/>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3"/>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3"/>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3"/>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3"/>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3"/>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3"/>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3"/>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3"/>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3"/>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3"/>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3"/>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3"/>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3"/>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3"/>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3"/>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3"/>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3"/>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3"/>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3"/>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3"/>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3"/>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3"/>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3"/>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3"/>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3"/>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3"/>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3"/>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3"/>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3"/>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3"/>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3"/>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3"/>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3"/>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3"/>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3"/>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3"/>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3"/>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3"/>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3"/>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3"/>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3"/>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3"/>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3"/>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3"/>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3"/>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3"/>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3"/>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3"/>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3"/>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3"/>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3"/>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3"/>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3"/>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3"/>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3"/>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3"/>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3"/>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3"/>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3"/>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3"/>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3"/>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3"/>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3"/>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3"/>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3"/>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3"/>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3"/>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3"/>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3"/>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3"/>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3"/>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3"/>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3"/>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3"/>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3"/>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3"/>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3"/>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3"/>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3"/>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3"/>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3"/>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3"/>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3"/>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3"/>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3"/>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3"/>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3"/>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3"/>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3"/>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3"/>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3"/>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3"/>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3"/>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3"/>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3"/>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3"/>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3"/>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3"/>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3"/>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3"/>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3"/>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3"/>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3"/>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3"/>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3"/>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3"/>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3"/>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3"/>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3"/>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3"/>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3"/>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3"/>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3"/>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3"/>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3"/>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3"/>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3"/>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3"/>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3"/>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3"/>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3"/>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3"/>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3"/>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3"/>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3"/>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3"/>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3"/>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3"/>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3"/>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3"/>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3"/>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3"/>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3"/>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3"/>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3"/>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3"/>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3"/>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3"/>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3"/>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3"/>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3"/>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3"/>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3"/>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3"/>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3"/>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3"/>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3"/>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3"/>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3"/>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3"/>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3"/>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3"/>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3"/>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3"/>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3"/>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3"/>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3"/>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3"/>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3"/>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3"/>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3"/>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3"/>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3"/>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3"/>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3"/>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3"/>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3"/>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3"/>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3"/>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3"/>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3"/>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3"/>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3"/>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3"/>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3"/>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3"/>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3"/>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3"/>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3"/>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3"/>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3"/>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3"/>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3"/>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3"/>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3"/>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3"/>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3"/>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3"/>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3"/>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3"/>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3"/>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3"/>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3"/>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3"/>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3"/>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3"/>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3"/>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3"/>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3"/>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3"/>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3"/>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3"/>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3"/>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3"/>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3"/>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3"/>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3"/>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3"/>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3"/>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3"/>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3"/>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3"/>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3"/>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3"/>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3"/>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3"/>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3"/>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3"/>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3"/>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3"/>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3"/>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3"/>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3"/>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c r="B1005" s="2"/>
      <c r="C1005" s="2"/>
      <c r="D1005" s="3"/>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c r="B1006" s="2"/>
      <c r="C1006" s="2"/>
      <c r="D1006" s="3"/>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c r="B1007" s="2"/>
      <c r="C1007" s="2"/>
      <c r="D1007" s="3"/>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
      <c r="B1008" s="2"/>
      <c r="C1008" s="2"/>
      <c r="D1008" s="3"/>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c r="A1009" s="2"/>
      <c r="B1009" s="2"/>
      <c r="C1009" s="2"/>
      <c r="D1009" s="3"/>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c r="A1010" s="2"/>
      <c r="B1010" s="2"/>
      <c r="C1010" s="2"/>
      <c r="D1010" s="3"/>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row r="1011">
      <c r="A1011" s="2"/>
      <c r="B1011" s="2"/>
      <c r="C1011" s="2"/>
      <c r="D1011" s="3"/>
      <c r="E1011" s="2"/>
      <c r="F1011" s="2"/>
      <c r="G1011" s="2"/>
      <c r="H1011" s="2"/>
      <c r="I1011" s="2"/>
      <c r="J1011" s="2"/>
      <c r="K1011" s="2"/>
      <c r="L1011" s="2"/>
      <c r="M1011" s="2"/>
      <c r="N1011" s="2"/>
      <c r="O1011" s="2"/>
      <c r="P1011" s="2"/>
      <c r="Q1011" s="2"/>
      <c r="R1011" s="2"/>
      <c r="S1011" s="2"/>
      <c r="T1011" s="2"/>
      <c r="U1011" s="2"/>
      <c r="V1011" s="2"/>
      <c r="W1011" s="2"/>
      <c r="X1011" s="2"/>
      <c r="Y1011" s="2"/>
      <c r="Z1011" s="2"/>
      <c r="AA1011" s="2"/>
    </row>
    <row r="1012">
      <c r="A1012" s="2"/>
      <c r="B1012" s="2"/>
      <c r="C1012" s="2"/>
      <c r="D1012" s="3"/>
      <c r="E1012" s="2"/>
      <c r="F1012" s="2"/>
      <c r="G1012" s="2"/>
      <c r="H1012" s="2"/>
      <c r="I1012" s="2"/>
      <c r="J1012" s="2"/>
      <c r="K1012" s="2"/>
      <c r="L1012" s="2"/>
      <c r="M1012" s="2"/>
      <c r="N1012" s="2"/>
      <c r="O1012" s="2"/>
      <c r="P1012" s="2"/>
      <c r="Q1012" s="2"/>
      <c r="R1012" s="2"/>
      <c r="S1012" s="2"/>
      <c r="T1012" s="2"/>
      <c r="U1012" s="2"/>
      <c r="V1012" s="2"/>
      <c r="W1012" s="2"/>
      <c r="X1012" s="2"/>
      <c r="Y1012" s="2"/>
      <c r="Z1012" s="2"/>
      <c r="AA1012" s="2"/>
    </row>
    <row r="1013">
      <c r="A1013" s="2"/>
      <c r="B1013" s="2"/>
      <c r="C1013" s="2"/>
      <c r="D1013" s="3"/>
      <c r="E1013" s="2"/>
      <c r="F1013" s="2"/>
      <c r="G1013" s="2"/>
      <c r="H1013" s="2"/>
      <c r="I1013" s="2"/>
      <c r="J1013" s="2"/>
      <c r="K1013" s="2"/>
      <c r="L1013" s="2"/>
      <c r="M1013" s="2"/>
      <c r="N1013" s="2"/>
      <c r="O1013" s="2"/>
      <c r="P1013" s="2"/>
      <c r="Q1013" s="2"/>
      <c r="R1013" s="2"/>
      <c r="S1013" s="2"/>
      <c r="T1013" s="2"/>
      <c r="U1013" s="2"/>
      <c r="V1013" s="2"/>
      <c r="W1013" s="2"/>
      <c r="X1013" s="2"/>
      <c r="Y1013" s="2"/>
      <c r="Z1013" s="2"/>
      <c r="AA1013" s="2"/>
    </row>
    <row r="1014">
      <c r="A1014" s="2"/>
      <c r="B1014" s="2"/>
      <c r="C1014" s="2"/>
      <c r="D1014" s="3"/>
      <c r="E1014" s="2"/>
      <c r="F1014" s="2"/>
      <c r="G1014" s="2"/>
      <c r="H1014" s="2"/>
      <c r="I1014" s="2"/>
      <c r="J1014" s="2"/>
      <c r="K1014" s="2"/>
      <c r="L1014" s="2"/>
      <c r="M1014" s="2"/>
      <c r="N1014" s="2"/>
      <c r="O1014" s="2"/>
      <c r="P1014" s="2"/>
      <c r="Q1014" s="2"/>
      <c r="R1014" s="2"/>
      <c r="S1014" s="2"/>
      <c r="T1014" s="2"/>
      <c r="U1014" s="2"/>
      <c r="V1014" s="2"/>
      <c r="W1014" s="2"/>
      <c r="X1014" s="2"/>
      <c r="Y1014" s="2"/>
      <c r="Z1014" s="2"/>
      <c r="AA1014" s="2"/>
    </row>
    <row r="1015">
      <c r="A1015" s="2"/>
      <c r="B1015" s="2"/>
      <c r="C1015" s="2"/>
      <c r="D1015" s="3"/>
      <c r="E1015" s="2"/>
      <c r="F1015" s="2"/>
      <c r="G1015" s="2"/>
      <c r="H1015" s="2"/>
      <c r="I1015" s="2"/>
      <c r="J1015" s="2"/>
      <c r="K1015" s="2"/>
      <c r="L1015" s="2"/>
      <c r="M1015" s="2"/>
      <c r="N1015" s="2"/>
      <c r="O1015" s="2"/>
      <c r="P1015" s="2"/>
      <c r="Q1015" s="2"/>
      <c r="R1015" s="2"/>
      <c r="S1015" s="2"/>
      <c r="T1015" s="2"/>
      <c r="U1015" s="2"/>
      <c r="V1015" s="2"/>
      <c r="W1015" s="2"/>
      <c r="X1015" s="2"/>
      <c r="Y1015" s="2"/>
      <c r="Z1015" s="2"/>
      <c r="AA1015" s="2"/>
    </row>
    <row r="1016">
      <c r="A1016" s="2"/>
      <c r="B1016" s="2"/>
      <c r="C1016" s="2"/>
      <c r="D1016" s="3"/>
      <c r="E1016" s="2"/>
      <c r="F1016" s="2"/>
      <c r="G1016" s="2"/>
      <c r="H1016" s="2"/>
      <c r="I1016" s="2"/>
      <c r="J1016" s="2"/>
      <c r="K1016" s="2"/>
      <c r="L1016" s="2"/>
      <c r="M1016" s="2"/>
      <c r="N1016" s="2"/>
      <c r="O1016" s="2"/>
      <c r="P1016" s="2"/>
      <c r="Q1016" s="2"/>
      <c r="R1016" s="2"/>
      <c r="S1016" s="2"/>
      <c r="T1016" s="2"/>
      <c r="U1016" s="2"/>
      <c r="V1016" s="2"/>
      <c r="W1016" s="2"/>
      <c r="X1016" s="2"/>
      <c r="Y1016" s="2"/>
      <c r="Z1016" s="2"/>
      <c r="AA1016" s="2"/>
    </row>
    <row r="1017">
      <c r="A1017" s="2"/>
      <c r="B1017" s="2"/>
      <c r="C1017" s="2"/>
      <c r="D1017" s="3"/>
      <c r="E1017" s="2"/>
      <c r="F1017" s="2"/>
      <c r="G1017" s="2"/>
      <c r="H1017" s="2"/>
      <c r="I1017" s="2"/>
      <c r="J1017" s="2"/>
      <c r="K1017" s="2"/>
      <c r="L1017" s="2"/>
      <c r="M1017" s="2"/>
      <c r="N1017" s="2"/>
      <c r="O1017" s="2"/>
      <c r="P1017" s="2"/>
      <c r="Q1017" s="2"/>
      <c r="R1017" s="2"/>
      <c r="S1017" s="2"/>
      <c r="T1017" s="2"/>
      <c r="U1017" s="2"/>
      <c r="V1017" s="2"/>
      <c r="W1017" s="2"/>
      <c r="X1017" s="2"/>
      <c r="Y1017" s="2"/>
      <c r="Z1017" s="2"/>
      <c r="AA1017" s="2"/>
    </row>
    <row r="1018">
      <c r="A1018" s="2"/>
      <c r="B1018" s="2"/>
      <c r="C1018" s="2"/>
      <c r="D1018" s="3"/>
      <c r="E1018" s="2"/>
      <c r="F1018" s="2"/>
      <c r="G1018" s="2"/>
      <c r="H1018" s="2"/>
      <c r="I1018" s="2"/>
      <c r="J1018" s="2"/>
      <c r="K1018" s="2"/>
      <c r="L1018" s="2"/>
      <c r="M1018" s="2"/>
      <c r="N1018" s="2"/>
      <c r="O1018" s="2"/>
      <c r="P1018" s="2"/>
      <c r="Q1018" s="2"/>
      <c r="R1018" s="2"/>
      <c r="S1018" s="2"/>
      <c r="T1018" s="2"/>
      <c r="U1018" s="2"/>
      <c r="V1018" s="2"/>
      <c r="W1018" s="2"/>
      <c r="X1018" s="2"/>
      <c r="Y1018" s="2"/>
      <c r="Z1018" s="2"/>
      <c r="AA1018" s="2"/>
    </row>
    <row r="1019">
      <c r="A1019" s="2"/>
      <c r="B1019" s="2"/>
      <c r="C1019" s="2"/>
      <c r="D1019" s="3"/>
      <c r="E1019" s="2"/>
      <c r="F1019" s="2"/>
      <c r="G1019" s="2"/>
      <c r="H1019" s="2"/>
      <c r="I1019" s="2"/>
      <c r="J1019" s="2"/>
      <c r="K1019" s="2"/>
      <c r="L1019" s="2"/>
      <c r="M1019" s="2"/>
      <c r="N1019" s="2"/>
      <c r="O1019" s="2"/>
      <c r="P1019" s="2"/>
      <c r="Q1019" s="2"/>
      <c r="R1019" s="2"/>
      <c r="S1019" s="2"/>
      <c r="T1019" s="2"/>
      <c r="U1019" s="2"/>
      <c r="V1019" s="2"/>
      <c r="W1019" s="2"/>
      <c r="X1019" s="2"/>
      <c r="Y1019" s="2"/>
      <c r="Z1019" s="2"/>
      <c r="AA1019" s="2"/>
    </row>
    <row r="1020">
      <c r="A1020" s="2"/>
      <c r="B1020" s="2"/>
      <c r="C1020" s="2"/>
      <c r="D1020" s="3"/>
      <c r="E1020" s="2"/>
      <c r="F1020" s="2"/>
      <c r="G1020" s="2"/>
      <c r="H1020" s="2"/>
      <c r="I1020" s="2"/>
      <c r="J1020" s="2"/>
      <c r="K1020" s="2"/>
      <c r="L1020" s="2"/>
      <c r="M1020" s="2"/>
      <c r="N1020" s="2"/>
      <c r="O1020" s="2"/>
      <c r="P1020" s="2"/>
      <c r="Q1020" s="2"/>
      <c r="R1020" s="2"/>
      <c r="S1020" s="2"/>
      <c r="T1020" s="2"/>
      <c r="U1020" s="2"/>
      <c r="V1020" s="2"/>
      <c r="W1020" s="2"/>
      <c r="X1020" s="2"/>
      <c r="Y1020" s="2"/>
      <c r="Z1020" s="2"/>
      <c r="AA1020" s="2"/>
    </row>
    <row r="1021">
      <c r="A1021" s="2"/>
      <c r="B1021" s="2"/>
      <c r="C1021" s="2"/>
      <c r="D1021" s="3"/>
      <c r="E1021" s="2"/>
      <c r="F1021" s="2"/>
      <c r="G1021" s="2"/>
      <c r="H1021" s="2"/>
      <c r="I1021" s="2"/>
      <c r="J1021" s="2"/>
      <c r="K1021" s="2"/>
      <c r="L1021" s="2"/>
      <c r="M1021" s="2"/>
      <c r="N1021" s="2"/>
      <c r="O1021" s="2"/>
      <c r="P1021" s="2"/>
      <c r="Q1021" s="2"/>
      <c r="R1021" s="2"/>
      <c r="S1021" s="2"/>
      <c r="T1021" s="2"/>
      <c r="U1021" s="2"/>
      <c r="V1021" s="2"/>
      <c r="W1021" s="2"/>
      <c r="X1021" s="2"/>
      <c r="Y1021" s="2"/>
      <c r="Z1021" s="2"/>
      <c r="AA1021" s="2"/>
    </row>
    <row r="1022">
      <c r="A1022" s="2"/>
      <c r="B1022" s="2"/>
      <c r="C1022" s="2"/>
      <c r="D1022" s="3"/>
      <c r="E1022" s="2"/>
      <c r="F1022" s="2"/>
      <c r="G1022" s="2"/>
      <c r="H1022" s="2"/>
      <c r="I1022" s="2"/>
      <c r="J1022" s="2"/>
      <c r="K1022" s="2"/>
      <c r="L1022" s="2"/>
      <c r="M1022" s="2"/>
      <c r="N1022" s="2"/>
      <c r="O1022" s="2"/>
      <c r="P1022" s="2"/>
      <c r="Q1022" s="2"/>
      <c r="R1022" s="2"/>
      <c r="S1022" s="2"/>
      <c r="T1022" s="2"/>
      <c r="U1022" s="2"/>
      <c r="V1022" s="2"/>
      <c r="W1022" s="2"/>
      <c r="X1022" s="2"/>
      <c r="Y1022" s="2"/>
      <c r="Z1022" s="2"/>
      <c r="AA1022" s="2"/>
    </row>
    <row r="1023">
      <c r="A1023" s="2"/>
      <c r="B1023" s="2"/>
      <c r="C1023" s="2"/>
      <c r="D1023" s="3"/>
      <c r="E1023" s="2"/>
      <c r="F1023" s="2"/>
      <c r="G1023" s="2"/>
      <c r="H1023" s="2"/>
      <c r="I1023" s="2"/>
      <c r="J1023" s="2"/>
      <c r="K1023" s="2"/>
      <c r="L1023" s="2"/>
      <c r="M1023" s="2"/>
      <c r="N1023" s="2"/>
      <c r="O1023" s="2"/>
      <c r="P1023" s="2"/>
      <c r="Q1023" s="2"/>
      <c r="R1023" s="2"/>
      <c r="S1023" s="2"/>
      <c r="T1023" s="2"/>
      <c r="U1023" s="2"/>
      <c r="V1023" s="2"/>
      <c r="W1023" s="2"/>
      <c r="X1023" s="2"/>
      <c r="Y1023" s="2"/>
      <c r="Z1023" s="2"/>
      <c r="AA1023" s="2"/>
    </row>
    <row r="1024">
      <c r="A1024" s="2"/>
      <c r="B1024" s="2"/>
      <c r="C1024" s="2"/>
      <c r="D1024" s="3"/>
      <c r="E1024" s="2"/>
      <c r="F1024" s="2"/>
      <c r="G1024" s="2"/>
      <c r="H1024" s="2"/>
      <c r="I1024" s="2"/>
      <c r="J1024" s="2"/>
      <c r="K1024" s="2"/>
      <c r="L1024" s="2"/>
      <c r="M1024" s="2"/>
      <c r="N1024" s="2"/>
      <c r="O1024" s="2"/>
      <c r="P1024" s="2"/>
      <c r="Q1024" s="2"/>
      <c r="R1024" s="2"/>
      <c r="S1024" s="2"/>
      <c r="T1024" s="2"/>
      <c r="U1024" s="2"/>
      <c r="V1024" s="2"/>
      <c r="W1024" s="2"/>
      <c r="X1024" s="2"/>
      <c r="Y1024" s="2"/>
      <c r="Z1024" s="2"/>
      <c r="AA1024" s="2"/>
    </row>
    <row r="1025">
      <c r="A1025" s="2"/>
      <c r="B1025" s="2"/>
      <c r="C1025" s="2"/>
      <c r="D1025" s="3"/>
      <c r="E1025" s="2"/>
      <c r="F1025" s="2"/>
      <c r="G1025" s="2"/>
      <c r="H1025" s="2"/>
      <c r="I1025" s="2"/>
      <c r="J1025" s="2"/>
      <c r="K1025" s="2"/>
      <c r="L1025" s="2"/>
      <c r="M1025" s="2"/>
      <c r="N1025" s="2"/>
      <c r="O1025" s="2"/>
      <c r="P1025" s="2"/>
      <c r="Q1025" s="2"/>
      <c r="R1025" s="2"/>
      <c r="S1025" s="2"/>
      <c r="T1025" s="2"/>
      <c r="U1025" s="2"/>
      <c r="V1025" s="2"/>
      <c r="W1025" s="2"/>
      <c r="X1025" s="2"/>
      <c r="Y1025" s="2"/>
      <c r="Z1025" s="2"/>
      <c r="AA1025" s="2"/>
    </row>
    <row r="1026">
      <c r="A1026" s="2"/>
      <c r="B1026" s="2"/>
      <c r="C1026" s="2"/>
      <c r="D1026" s="3"/>
      <c r="E1026" s="2"/>
      <c r="F1026" s="2"/>
      <c r="G1026" s="2"/>
      <c r="H1026" s="2"/>
      <c r="I1026" s="2"/>
      <c r="J1026" s="2"/>
      <c r="K1026" s="2"/>
      <c r="L1026" s="2"/>
      <c r="M1026" s="2"/>
      <c r="N1026" s="2"/>
      <c r="O1026" s="2"/>
      <c r="P1026" s="2"/>
      <c r="Q1026" s="2"/>
      <c r="R1026" s="2"/>
      <c r="S1026" s="2"/>
      <c r="T1026" s="2"/>
      <c r="U1026" s="2"/>
      <c r="V1026" s="2"/>
      <c r="W1026" s="2"/>
      <c r="X1026" s="2"/>
      <c r="Y1026" s="2"/>
      <c r="Z1026" s="2"/>
      <c r="AA1026" s="2"/>
    </row>
    <row r="1027">
      <c r="A1027" s="2"/>
      <c r="B1027" s="2"/>
      <c r="C1027" s="2"/>
      <c r="D1027" s="3"/>
      <c r="E1027" s="2"/>
      <c r="F1027" s="2"/>
      <c r="G1027" s="2"/>
      <c r="H1027" s="2"/>
      <c r="I1027" s="2"/>
      <c r="J1027" s="2"/>
      <c r="K1027" s="2"/>
      <c r="L1027" s="2"/>
      <c r="M1027" s="2"/>
      <c r="N1027" s="2"/>
      <c r="O1027" s="2"/>
      <c r="P1027" s="2"/>
      <c r="Q1027" s="2"/>
      <c r="R1027" s="2"/>
      <c r="S1027" s="2"/>
      <c r="T1027" s="2"/>
      <c r="U1027" s="2"/>
      <c r="V1027" s="2"/>
      <c r="W1027" s="2"/>
      <c r="X1027" s="2"/>
      <c r="Y1027" s="2"/>
      <c r="Z1027" s="2"/>
      <c r="AA1027" s="2"/>
    </row>
    <row r="1028">
      <c r="A1028" s="2"/>
      <c r="B1028" s="2"/>
      <c r="C1028" s="2"/>
      <c r="D1028" s="3"/>
      <c r="E1028" s="2"/>
      <c r="F1028" s="2"/>
      <c r="G1028" s="2"/>
      <c r="H1028" s="2"/>
      <c r="I1028" s="2"/>
      <c r="J1028" s="2"/>
      <c r="K1028" s="2"/>
      <c r="L1028" s="2"/>
      <c r="M1028" s="2"/>
      <c r="N1028" s="2"/>
      <c r="O1028" s="2"/>
      <c r="P1028" s="2"/>
      <c r="Q1028" s="2"/>
      <c r="R1028" s="2"/>
      <c r="S1028" s="2"/>
      <c r="T1028" s="2"/>
      <c r="U1028" s="2"/>
      <c r="V1028" s="2"/>
      <c r="W1028" s="2"/>
      <c r="X1028" s="2"/>
      <c r="Y1028" s="2"/>
      <c r="Z1028" s="2"/>
      <c r="AA1028" s="2"/>
    </row>
    <row r="1029">
      <c r="A1029" s="2"/>
      <c r="B1029" s="2"/>
      <c r="C1029" s="2"/>
      <c r="D1029" s="3"/>
      <c r="E1029" s="2"/>
      <c r="F1029" s="2"/>
      <c r="G1029" s="2"/>
      <c r="H1029" s="2"/>
      <c r="I1029" s="2"/>
      <c r="J1029" s="2"/>
      <c r="K1029" s="2"/>
      <c r="L1029" s="2"/>
      <c r="M1029" s="2"/>
      <c r="N1029" s="2"/>
      <c r="O1029" s="2"/>
      <c r="P1029" s="2"/>
      <c r="Q1029" s="2"/>
      <c r="R1029" s="2"/>
      <c r="S1029" s="2"/>
      <c r="T1029" s="2"/>
      <c r="U1029" s="2"/>
      <c r="V1029" s="2"/>
      <c r="W1029" s="2"/>
      <c r="X1029" s="2"/>
      <c r="Y1029" s="2"/>
      <c r="Z1029" s="2"/>
      <c r="AA1029" s="2"/>
    </row>
    <row r="1030">
      <c r="A1030" s="2"/>
      <c r="B1030" s="2"/>
      <c r="C1030" s="2"/>
      <c r="D1030" s="3"/>
      <c r="E1030" s="2"/>
      <c r="F1030" s="2"/>
      <c r="G1030" s="2"/>
      <c r="H1030" s="2"/>
      <c r="I1030" s="2"/>
      <c r="J1030" s="2"/>
      <c r="K1030" s="2"/>
      <c r="L1030" s="2"/>
      <c r="M1030" s="2"/>
      <c r="N1030" s="2"/>
      <c r="O1030" s="2"/>
      <c r="P1030" s="2"/>
      <c r="Q1030" s="2"/>
      <c r="R1030" s="2"/>
      <c r="S1030" s="2"/>
      <c r="T1030" s="2"/>
      <c r="U1030" s="2"/>
      <c r="V1030" s="2"/>
      <c r="W1030" s="2"/>
      <c r="X1030" s="2"/>
      <c r="Y1030" s="2"/>
      <c r="Z1030" s="2"/>
      <c r="AA1030" s="2"/>
    </row>
    <row r="1031">
      <c r="A1031" s="2"/>
      <c r="B1031" s="2"/>
      <c r="C1031" s="2"/>
      <c r="D1031" s="3"/>
      <c r="E1031" s="2"/>
      <c r="F1031" s="2"/>
      <c r="G1031" s="2"/>
      <c r="H1031" s="2"/>
      <c r="I1031" s="2"/>
      <c r="J1031" s="2"/>
      <c r="K1031" s="2"/>
      <c r="L1031" s="2"/>
      <c r="M1031" s="2"/>
      <c r="N1031" s="2"/>
      <c r="O1031" s="2"/>
      <c r="P1031" s="2"/>
      <c r="Q1031" s="2"/>
      <c r="R1031" s="2"/>
      <c r="S1031" s="2"/>
      <c r="T1031" s="2"/>
      <c r="U1031" s="2"/>
      <c r="V1031" s="2"/>
      <c r="W1031" s="2"/>
      <c r="X1031" s="2"/>
      <c r="Y1031" s="2"/>
      <c r="Z1031" s="2"/>
      <c r="AA1031" s="2"/>
    </row>
    <row r="1032">
      <c r="A1032" s="2"/>
      <c r="B1032" s="2"/>
      <c r="C1032" s="2"/>
      <c r="D1032" s="3"/>
      <c r="E1032" s="2"/>
      <c r="F1032" s="2"/>
      <c r="G1032" s="2"/>
      <c r="H1032" s="2"/>
      <c r="I1032" s="2"/>
      <c r="J1032" s="2"/>
      <c r="K1032" s="2"/>
      <c r="L1032" s="2"/>
      <c r="M1032" s="2"/>
      <c r="N1032" s="2"/>
      <c r="O1032" s="2"/>
      <c r="P1032" s="2"/>
      <c r="Q1032" s="2"/>
      <c r="R1032" s="2"/>
      <c r="S1032" s="2"/>
      <c r="T1032" s="2"/>
      <c r="U1032" s="2"/>
      <c r="V1032" s="2"/>
      <c r="W1032" s="2"/>
      <c r="X1032" s="2"/>
      <c r="Y1032" s="2"/>
      <c r="Z1032" s="2"/>
      <c r="AA1032" s="2"/>
    </row>
    <row r="1033">
      <c r="A1033" s="2"/>
      <c r="B1033" s="2"/>
      <c r="C1033" s="2"/>
      <c r="D1033" s="3"/>
      <c r="E1033" s="2"/>
      <c r="F1033" s="2"/>
      <c r="G1033" s="2"/>
      <c r="H1033" s="2"/>
      <c r="I1033" s="2"/>
      <c r="J1033" s="2"/>
      <c r="K1033" s="2"/>
      <c r="L1033" s="2"/>
      <c r="M1033" s="2"/>
      <c r="N1033" s="2"/>
      <c r="O1033" s="2"/>
      <c r="P1033" s="2"/>
      <c r="Q1033" s="2"/>
      <c r="R1033" s="2"/>
      <c r="S1033" s="2"/>
      <c r="T1033" s="2"/>
      <c r="U1033" s="2"/>
      <c r="V1033" s="2"/>
      <c r="W1033" s="2"/>
      <c r="X1033" s="2"/>
      <c r="Y1033" s="2"/>
      <c r="Z1033" s="2"/>
      <c r="AA1033" s="2"/>
    </row>
    <row r="1034">
      <c r="A1034" s="2"/>
      <c r="B1034" s="2"/>
      <c r="C1034" s="2"/>
      <c r="D1034" s="3"/>
      <c r="E1034" s="2"/>
      <c r="F1034" s="2"/>
      <c r="G1034" s="2"/>
      <c r="H1034" s="2"/>
      <c r="I1034" s="2"/>
      <c r="J1034" s="2"/>
      <c r="K1034" s="2"/>
      <c r="L1034" s="2"/>
      <c r="M1034" s="2"/>
      <c r="N1034" s="2"/>
      <c r="O1034" s="2"/>
      <c r="P1034" s="2"/>
      <c r="Q1034" s="2"/>
      <c r="R1034" s="2"/>
      <c r="S1034" s="2"/>
      <c r="T1034" s="2"/>
      <c r="U1034" s="2"/>
      <c r="V1034" s="2"/>
      <c r="W1034" s="2"/>
      <c r="X1034" s="2"/>
      <c r="Y1034" s="2"/>
      <c r="Z1034" s="2"/>
      <c r="AA1034" s="2"/>
    </row>
    <row r="1035">
      <c r="A1035" s="2"/>
      <c r="B1035" s="2"/>
      <c r="C1035" s="2"/>
      <c r="D1035" s="3"/>
      <c r="E1035" s="2"/>
      <c r="F1035" s="2"/>
      <c r="G1035" s="2"/>
      <c r="H1035" s="2"/>
      <c r="I1035" s="2"/>
      <c r="J1035" s="2"/>
      <c r="K1035" s="2"/>
      <c r="L1035" s="2"/>
      <c r="M1035" s="2"/>
      <c r="N1035" s="2"/>
      <c r="O1035" s="2"/>
      <c r="P1035" s="2"/>
      <c r="Q1035" s="2"/>
      <c r="R1035" s="2"/>
      <c r="S1035" s="2"/>
      <c r="T1035" s="2"/>
      <c r="U1035" s="2"/>
      <c r="V1035" s="2"/>
      <c r="W1035" s="2"/>
      <c r="X1035" s="2"/>
      <c r="Y1035" s="2"/>
      <c r="Z1035" s="2"/>
      <c r="AA1035" s="2"/>
    </row>
    <row r="1036">
      <c r="A1036" s="2"/>
      <c r="B1036" s="2"/>
      <c r="C1036" s="2"/>
      <c r="D1036" s="3"/>
      <c r="E1036" s="2"/>
      <c r="F1036" s="2"/>
      <c r="G1036" s="2"/>
      <c r="H1036" s="2"/>
      <c r="I1036" s="2"/>
      <c r="J1036" s="2"/>
      <c r="K1036" s="2"/>
      <c r="L1036" s="2"/>
      <c r="M1036" s="2"/>
      <c r="N1036" s="2"/>
      <c r="O1036" s="2"/>
      <c r="P1036" s="2"/>
      <c r="Q1036" s="2"/>
      <c r="R1036" s="2"/>
      <c r="S1036" s="2"/>
      <c r="T1036" s="2"/>
      <c r="U1036" s="2"/>
      <c r="V1036" s="2"/>
      <c r="W1036" s="2"/>
      <c r="X1036" s="2"/>
      <c r="Y1036" s="2"/>
      <c r="Z1036" s="2"/>
      <c r="AA1036" s="2"/>
    </row>
    <row r="1037">
      <c r="A1037" s="2"/>
      <c r="B1037" s="2"/>
      <c r="C1037" s="2"/>
      <c r="D1037" s="3"/>
      <c r="E1037" s="2"/>
      <c r="F1037" s="2"/>
      <c r="G1037" s="2"/>
      <c r="H1037" s="2"/>
      <c r="I1037" s="2"/>
      <c r="J1037" s="2"/>
      <c r="K1037" s="2"/>
      <c r="L1037" s="2"/>
      <c r="M1037" s="2"/>
      <c r="N1037" s="2"/>
      <c r="O1037" s="2"/>
      <c r="P1037" s="2"/>
      <c r="Q1037" s="2"/>
      <c r="R1037" s="2"/>
      <c r="S1037" s="2"/>
      <c r="T1037" s="2"/>
      <c r="U1037" s="2"/>
      <c r="V1037" s="2"/>
      <c r="W1037" s="2"/>
      <c r="X1037" s="2"/>
      <c r="Y1037" s="2"/>
      <c r="Z1037" s="2"/>
      <c r="AA1037" s="2"/>
    </row>
    <row r="1038">
      <c r="A1038" s="2"/>
      <c r="B1038" s="2"/>
      <c r="C1038" s="2"/>
      <c r="D1038" s="3"/>
      <c r="E1038" s="2"/>
      <c r="F1038" s="2"/>
      <c r="G1038" s="2"/>
      <c r="H1038" s="2"/>
      <c r="I1038" s="2"/>
      <c r="J1038" s="2"/>
      <c r="K1038" s="2"/>
      <c r="L1038" s="2"/>
      <c r="M1038" s="2"/>
      <c r="N1038" s="2"/>
      <c r="O1038" s="2"/>
      <c r="P1038" s="2"/>
      <c r="Q1038" s="2"/>
      <c r="R1038" s="2"/>
      <c r="S1038" s="2"/>
      <c r="T1038" s="2"/>
      <c r="U1038" s="2"/>
      <c r="V1038" s="2"/>
      <c r="W1038" s="2"/>
      <c r="X1038" s="2"/>
      <c r="Y1038" s="2"/>
      <c r="Z1038" s="2"/>
      <c r="AA1038" s="2"/>
    </row>
    <row r="1039">
      <c r="A1039" s="2"/>
      <c r="B1039" s="2"/>
      <c r="C1039" s="2"/>
      <c r="D1039" s="3"/>
      <c r="E1039" s="2"/>
      <c r="F1039" s="2"/>
      <c r="G1039" s="2"/>
      <c r="H1039" s="2"/>
      <c r="I1039" s="2"/>
      <c r="J1039" s="2"/>
      <c r="K1039" s="2"/>
      <c r="L1039" s="2"/>
      <c r="M1039" s="2"/>
      <c r="N1039" s="2"/>
      <c r="O1039" s="2"/>
      <c r="P1039" s="2"/>
      <c r="Q1039" s="2"/>
      <c r="R1039" s="2"/>
      <c r="S1039" s="2"/>
      <c r="T1039" s="2"/>
      <c r="U1039" s="2"/>
      <c r="V1039" s="2"/>
      <c r="W1039" s="2"/>
      <c r="X1039" s="2"/>
      <c r="Y1039" s="2"/>
      <c r="Z1039" s="2"/>
      <c r="AA1039" s="2"/>
    </row>
  </sheetData>
  <conditionalFormatting sqref="E97">
    <cfRule type="cellIs" dxfId="0" priority="1" operator="equal">
      <formula>"Outstanding Contribution"</formula>
    </cfRule>
  </conditionalFormatting>
  <conditionalFormatting sqref="E97">
    <cfRule type="cellIs" dxfId="1" priority="2" operator="equal">
      <formula>"Great Contribution"</formula>
    </cfRule>
  </conditionalFormatting>
  <conditionalFormatting sqref="E97">
    <cfRule type="cellIs" dxfId="2" priority="3" operator="equal">
      <formula>"Developing Towards Great"</formula>
    </cfRule>
  </conditionalFormatting>
  <conditionalFormatting sqref="E97">
    <cfRule type="cellIs" dxfId="3" priority="4" operator="equal">
      <formula>"Improvements Needed"</formula>
    </cfRule>
  </conditionalFormatting>
  <conditionalFormatting sqref="E97">
    <cfRule type="cellIs" dxfId="4" priority="5" operator="equal">
      <formula>"N/A - No Role Model Rating"</formula>
    </cfRule>
  </conditionalFormatting>
  <conditionalFormatting sqref="G90">
    <cfRule type="cellIs" dxfId="0" priority="6" operator="equal">
      <formula>"100%"</formula>
    </cfRule>
  </conditionalFormatting>
  <conditionalFormatting sqref="G90">
    <cfRule type="cellIs" dxfId="3" priority="7" operator="notEqual">
      <formula>"100%"</formula>
    </cfRule>
  </conditionalFormatting>
  <dataValidations>
    <dataValidation type="list" allowBlank="1" showErrorMessage="1" sqref="B4">
      <formula1>"Junior Developer,Confirmed Developer,Senior Developer,Staff Developer,Senior Staff Developer,Principal Developer"</formula1>
    </dataValidation>
    <dataValidation type="custom" allowBlank="1" showDropDown="1" showInputMessage="1" prompt="Enter a valid date" sqref="J4">
      <formula1>OR(NOT(ISERROR(DATEVALUE(J4))), AND(ISNUMBER(J4), LEFT(CELL("format", J4))="D"))</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2"/>
  <cols>
    <col customWidth="1" min="1" max="1" width="22.88"/>
    <col customWidth="1" min="2" max="2" width="41.0"/>
    <col customWidth="1" min="3" max="3" width="34.0"/>
    <col customWidth="1" min="4" max="4" width="7.25"/>
    <col customWidth="1" min="5" max="5" width="7.0"/>
    <col customWidth="1" min="6" max="6" width="0.38"/>
    <col customWidth="1" min="7" max="7" width="6.88"/>
    <col customWidth="1" min="8" max="8" width="7.0"/>
    <col customWidth="1" min="9" max="9" width="0.38"/>
    <col customWidth="1" min="10" max="11" width="7.0"/>
    <col customWidth="1" min="12" max="12" width="0.38"/>
    <col customWidth="1" min="13" max="13" width="6.88"/>
    <col customWidth="1" min="14" max="14" width="7.0"/>
    <col customWidth="1" min="15" max="15" width="0.38"/>
    <col customWidth="1" min="16" max="16" width="7.63"/>
    <col customWidth="1" min="17" max="17" width="7.0"/>
    <col customWidth="1" min="18" max="18" width="0.38"/>
    <col customWidth="1" min="19" max="19" width="6.88"/>
    <col customWidth="1" min="20" max="20" width="7.0"/>
  </cols>
  <sheetData>
    <row r="1">
      <c r="A1" s="52"/>
      <c r="B1" s="52"/>
      <c r="C1" s="52"/>
      <c r="D1" s="53" t="s">
        <v>73</v>
      </c>
      <c r="F1" s="54"/>
      <c r="G1" s="53" t="s">
        <v>74</v>
      </c>
      <c r="I1" s="54"/>
      <c r="J1" s="53" t="s">
        <v>5</v>
      </c>
      <c r="L1" s="54"/>
      <c r="M1" s="53" t="s">
        <v>75</v>
      </c>
      <c r="O1" s="54"/>
      <c r="P1" s="53" t="s">
        <v>76</v>
      </c>
      <c r="R1" s="54"/>
      <c r="S1" s="53" t="s">
        <v>77</v>
      </c>
      <c r="U1" s="55"/>
      <c r="V1" s="55"/>
      <c r="W1" s="55"/>
      <c r="X1" s="55"/>
      <c r="Y1" s="55"/>
      <c r="Z1" s="55"/>
      <c r="AA1" s="55"/>
      <c r="AB1" s="55"/>
      <c r="AC1" s="55"/>
      <c r="AD1" s="55"/>
      <c r="AE1" s="55"/>
    </row>
    <row r="2">
      <c r="A2" s="56" t="s">
        <v>7</v>
      </c>
      <c r="B2" s="56" t="s">
        <v>8</v>
      </c>
      <c r="C2" s="56" t="s">
        <v>9</v>
      </c>
      <c r="D2" s="57" t="s">
        <v>12</v>
      </c>
      <c r="E2" s="56" t="s">
        <v>13</v>
      </c>
      <c r="F2" s="58"/>
      <c r="G2" s="57" t="s">
        <v>12</v>
      </c>
      <c r="H2" s="56" t="s">
        <v>13</v>
      </c>
      <c r="I2" s="58"/>
      <c r="J2" s="57" t="s">
        <v>12</v>
      </c>
      <c r="K2" s="56" t="s">
        <v>13</v>
      </c>
      <c r="L2" s="58"/>
      <c r="M2" s="57" t="s">
        <v>12</v>
      </c>
      <c r="N2" s="56" t="s">
        <v>13</v>
      </c>
      <c r="O2" s="58"/>
      <c r="P2" s="57" t="s">
        <v>12</v>
      </c>
      <c r="Q2" s="56" t="s">
        <v>13</v>
      </c>
      <c r="R2" s="58"/>
      <c r="S2" s="57" t="s">
        <v>12</v>
      </c>
      <c r="T2" s="56" t="s">
        <v>13</v>
      </c>
    </row>
    <row r="3">
      <c r="A3" s="59" t="s">
        <v>78</v>
      </c>
      <c r="B3" s="7"/>
      <c r="C3" s="7"/>
      <c r="D3" s="60">
        <f>D4*E4+D9*E9+D15*E15+D20*E20+D26*E26+D33*E33</f>
        <v>1.26</v>
      </c>
      <c r="E3" s="61">
        <v>0.7</v>
      </c>
      <c r="F3" s="62"/>
      <c r="G3" s="60">
        <f>G4*H4+G9*H9+G15*H15+G20*H20+G26*H26+G33*H33</f>
        <v>1.9675</v>
      </c>
      <c r="H3" s="61">
        <v>0.65</v>
      </c>
      <c r="I3" s="62"/>
      <c r="J3" s="60">
        <f>J4*K4+J9*K9+J15*K15+J20*K20+J26*K26+J33*K33</f>
        <v>2.5345</v>
      </c>
      <c r="K3" s="61">
        <v>0.6</v>
      </c>
      <c r="L3" s="62"/>
      <c r="M3" s="60">
        <f>M4*N4+M9*N9+M15*N15+M20*N20+M26*N26+M33*N33</f>
        <v>2.9905</v>
      </c>
      <c r="N3" s="61">
        <v>0.4</v>
      </c>
      <c r="O3" s="62"/>
      <c r="P3" s="60">
        <f>P4*Q4+P9*Q9+P15*Q15+P20*Q20+P26*Q26+P33*Q33</f>
        <v>3.64475</v>
      </c>
      <c r="Q3" s="61">
        <v>0.4</v>
      </c>
      <c r="R3" s="62"/>
      <c r="S3" s="60">
        <f>S4*T4+S9*T9+S15*T15+S20*T20+S26*T26+S33*T33</f>
        <v>4</v>
      </c>
      <c r="T3" s="61">
        <v>0.4</v>
      </c>
    </row>
    <row r="4" outlineLevel="1">
      <c r="A4" s="59" t="s">
        <v>78</v>
      </c>
      <c r="B4" s="47" t="s">
        <v>79</v>
      </c>
      <c r="C4" s="47"/>
      <c r="D4" s="63">
        <f>D5*E5+D6*E6+D7*E7+D8*E8</f>
        <v>1.2</v>
      </c>
      <c r="E4" s="64">
        <v>0.45</v>
      </c>
      <c r="F4" s="65"/>
      <c r="G4" s="63">
        <f>G5*H5+G6*H6+G7*H7+G8*H8</f>
        <v>1.925</v>
      </c>
      <c r="H4" s="64">
        <v>0.4</v>
      </c>
      <c r="I4" s="65"/>
      <c r="J4" s="63">
        <f>J5*K5+J6*K6+J7*K7+J8*K8</f>
        <v>2.51</v>
      </c>
      <c r="K4" s="64">
        <v>0.35</v>
      </c>
      <c r="L4" s="65"/>
      <c r="M4" s="63">
        <f>M5*N5+M6*N6+M7*N7+M8*N8</f>
        <v>3.15</v>
      </c>
      <c r="N4" s="64">
        <v>0.3</v>
      </c>
      <c r="O4" s="65"/>
      <c r="P4" s="63">
        <f>P5*Q5+P6*Q6+P7*Q7+P8*Q8</f>
        <v>3.61</v>
      </c>
      <c r="Q4" s="64">
        <v>0.3</v>
      </c>
      <c r="R4" s="65"/>
      <c r="S4" s="63">
        <f>S5*T5+S6*T6+S7*T7+S8*T8</f>
        <v>4</v>
      </c>
      <c r="T4" s="64">
        <v>0.3</v>
      </c>
    </row>
    <row r="5" outlineLevel="2">
      <c r="A5" s="59" t="s">
        <v>78</v>
      </c>
      <c r="B5" s="47" t="s">
        <v>79</v>
      </c>
      <c r="C5" s="1" t="s">
        <v>80</v>
      </c>
      <c r="D5" s="21">
        <v>1.2</v>
      </c>
      <c r="E5" s="66">
        <v>0.5</v>
      </c>
      <c r="F5" s="65"/>
      <c r="G5" s="21">
        <v>2.0</v>
      </c>
      <c r="H5" s="66">
        <v>0.45</v>
      </c>
      <c r="I5" s="65"/>
      <c r="J5" s="21">
        <v>2.6</v>
      </c>
      <c r="K5" s="66">
        <v>0.4</v>
      </c>
      <c r="L5" s="65"/>
      <c r="M5" s="21">
        <v>3.2</v>
      </c>
      <c r="N5" s="66">
        <v>0.4</v>
      </c>
      <c r="O5" s="65"/>
      <c r="P5" s="21">
        <v>3.6</v>
      </c>
      <c r="Q5" s="66">
        <v>0.4</v>
      </c>
      <c r="R5" s="65"/>
      <c r="S5" s="21">
        <v>4.0</v>
      </c>
      <c r="T5" s="66">
        <v>0.4</v>
      </c>
    </row>
    <row r="6" outlineLevel="2">
      <c r="A6" s="59" t="s">
        <v>78</v>
      </c>
      <c r="B6" s="47" t="s">
        <v>79</v>
      </c>
      <c r="C6" s="1" t="s">
        <v>81</v>
      </c>
      <c r="D6" s="21">
        <v>1.0</v>
      </c>
      <c r="E6" s="66">
        <v>0.25</v>
      </c>
      <c r="F6" s="65"/>
      <c r="G6" s="21">
        <v>1.8</v>
      </c>
      <c r="H6" s="66">
        <v>0.25</v>
      </c>
      <c r="I6" s="65"/>
      <c r="J6" s="21">
        <v>2.4</v>
      </c>
      <c r="K6" s="66">
        <v>0.2</v>
      </c>
      <c r="L6" s="65"/>
      <c r="M6" s="21">
        <v>3.0</v>
      </c>
      <c r="N6" s="66">
        <v>0.2</v>
      </c>
      <c r="O6" s="65"/>
      <c r="P6" s="21">
        <v>3.4</v>
      </c>
      <c r="Q6" s="66">
        <v>0.2</v>
      </c>
      <c r="R6" s="65"/>
      <c r="S6" s="21">
        <v>4.0</v>
      </c>
      <c r="T6" s="66">
        <v>0.2</v>
      </c>
    </row>
    <row r="7" outlineLevel="2">
      <c r="A7" s="59" t="s">
        <v>78</v>
      </c>
      <c r="B7" s="47" t="s">
        <v>79</v>
      </c>
      <c r="C7" s="1" t="s">
        <v>82</v>
      </c>
      <c r="D7" s="21">
        <v>1.4</v>
      </c>
      <c r="E7" s="66">
        <v>0.25</v>
      </c>
      <c r="F7" s="65"/>
      <c r="G7" s="21">
        <v>2.2</v>
      </c>
      <c r="H7" s="66">
        <v>0.25</v>
      </c>
      <c r="I7" s="65"/>
      <c r="J7" s="21">
        <v>2.8</v>
      </c>
      <c r="K7" s="66">
        <v>0.3</v>
      </c>
      <c r="L7" s="65"/>
      <c r="M7" s="21">
        <v>3.4</v>
      </c>
      <c r="N7" s="66">
        <v>0.3</v>
      </c>
      <c r="O7" s="65"/>
      <c r="P7" s="21">
        <v>3.8</v>
      </c>
      <c r="Q7" s="66">
        <v>0.3</v>
      </c>
      <c r="R7" s="65"/>
      <c r="S7" s="21">
        <v>4.0</v>
      </c>
      <c r="T7" s="66">
        <v>0.3</v>
      </c>
    </row>
    <row r="8" outlineLevel="2">
      <c r="A8" s="59" t="s">
        <v>78</v>
      </c>
      <c r="B8" s="47" t="s">
        <v>79</v>
      </c>
      <c r="C8" s="1" t="s">
        <v>59</v>
      </c>
      <c r="D8" s="21">
        <v>0.0</v>
      </c>
      <c r="E8" s="66">
        <v>0.0</v>
      </c>
      <c r="F8" s="65"/>
      <c r="G8" s="21">
        <v>0.5</v>
      </c>
      <c r="H8" s="66">
        <v>0.05</v>
      </c>
      <c r="I8" s="65"/>
      <c r="J8" s="21">
        <v>1.5</v>
      </c>
      <c r="K8" s="66">
        <v>0.1</v>
      </c>
      <c r="L8" s="65"/>
      <c r="M8" s="21">
        <v>2.5</v>
      </c>
      <c r="N8" s="66">
        <v>0.1</v>
      </c>
      <c r="O8" s="65"/>
      <c r="P8" s="21">
        <v>3.5</v>
      </c>
      <c r="Q8" s="66">
        <v>0.1</v>
      </c>
      <c r="R8" s="65"/>
      <c r="S8" s="21">
        <v>4.0</v>
      </c>
      <c r="T8" s="66">
        <v>0.1</v>
      </c>
    </row>
    <row r="9" outlineLevel="1">
      <c r="A9" s="59" t="s">
        <v>78</v>
      </c>
      <c r="B9" s="47" t="s">
        <v>83</v>
      </c>
      <c r="C9" s="47"/>
      <c r="D9" s="63">
        <f>D10*E10+D11*E11+D12*E12+D13*E13+D14*E14</f>
        <v>1.7</v>
      </c>
      <c r="E9" s="64">
        <v>0.15</v>
      </c>
      <c r="F9" s="65"/>
      <c r="G9" s="63">
        <f>G10*H10+G11*H11+G12*H12+G13*H13+G14*H14</f>
        <v>2.45</v>
      </c>
      <c r="H9" s="64">
        <v>0.15</v>
      </c>
      <c r="I9" s="65"/>
      <c r="J9" s="63">
        <f>J10*K10+J11*K11+J12*K12+J13*K13+J14*K14</f>
        <v>2.92</v>
      </c>
      <c r="K9" s="64">
        <v>0.15</v>
      </c>
      <c r="L9" s="65"/>
      <c r="M9" s="63">
        <f>M10*N10+M11*N11+M12*N12+M13*N13+M14*N14</f>
        <v>2.5</v>
      </c>
      <c r="N9" s="64">
        <v>0.15</v>
      </c>
      <c r="O9" s="65"/>
      <c r="P9" s="63">
        <f>P10*Q10+P11*Q11+P12*Q12+P13*Q13+P14*Q14</f>
        <v>3.6</v>
      </c>
      <c r="Q9" s="64">
        <v>0.15</v>
      </c>
      <c r="R9" s="65"/>
      <c r="S9" s="63">
        <f>S10*T10+S11*T11+S12*T12+S13*T13+S14*T14</f>
        <v>4</v>
      </c>
      <c r="T9" s="64">
        <v>0.15</v>
      </c>
    </row>
    <row r="10" outlineLevel="2">
      <c r="A10" s="59" t="s">
        <v>78</v>
      </c>
      <c r="B10" s="47" t="s">
        <v>83</v>
      </c>
      <c r="C10" s="1" t="s">
        <v>84</v>
      </c>
      <c r="D10" s="21">
        <v>2.0</v>
      </c>
      <c r="E10" s="66">
        <v>0.7</v>
      </c>
      <c r="F10" s="65"/>
      <c r="G10" s="21">
        <v>2.8</v>
      </c>
      <c r="H10" s="66">
        <v>0.6</v>
      </c>
      <c r="I10" s="65"/>
      <c r="J10" s="21">
        <v>3.2</v>
      </c>
      <c r="K10" s="66">
        <v>0.5</v>
      </c>
      <c r="L10" s="65"/>
      <c r="M10" s="21">
        <v>3.6</v>
      </c>
      <c r="N10" s="66">
        <v>0.0</v>
      </c>
      <c r="O10" s="65"/>
      <c r="P10" s="21"/>
      <c r="Q10" s="66">
        <v>0.0</v>
      </c>
      <c r="R10" s="65"/>
      <c r="S10" s="21"/>
      <c r="T10" s="66">
        <v>0.0</v>
      </c>
    </row>
    <row r="11" outlineLevel="2">
      <c r="A11" s="59" t="s">
        <v>78</v>
      </c>
      <c r="B11" s="47" t="s">
        <v>83</v>
      </c>
      <c r="C11" s="1" t="s">
        <v>85</v>
      </c>
      <c r="D11" s="21">
        <v>1.0</v>
      </c>
      <c r="E11" s="66">
        <v>0.2</v>
      </c>
      <c r="F11" s="65"/>
      <c r="G11" s="21">
        <v>2.0</v>
      </c>
      <c r="H11" s="66">
        <v>0.25</v>
      </c>
      <c r="I11" s="65"/>
      <c r="J11" s="21">
        <v>2.8</v>
      </c>
      <c r="K11" s="66">
        <v>0.3</v>
      </c>
      <c r="L11" s="65"/>
      <c r="M11" s="21">
        <v>3.2</v>
      </c>
      <c r="N11" s="66">
        <v>0.0</v>
      </c>
      <c r="O11" s="65"/>
      <c r="P11" s="21"/>
      <c r="Q11" s="66">
        <v>0.0</v>
      </c>
      <c r="R11" s="65"/>
      <c r="S11" s="21"/>
      <c r="T11" s="66">
        <v>0.0</v>
      </c>
    </row>
    <row r="12" outlineLevel="2">
      <c r="A12" s="59" t="s">
        <v>78</v>
      </c>
      <c r="B12" s="47" t="s">
        <v>83</v>
      </c>
      <c r="C12" s="1" t="s">
        <v>86</v>
      </c>
      <c r="D12" s="21">
        <v>1.0</v>
      </c>
      <c r="E12" s="66">
        <v>0.1</v>
      </c>
      <c r="F12" s="65"/>
      <c r="G12" s="21">
        <v>1.8</v>
      </c>
      <c r="H12" s="66">
        <v>0.15</v>
      </c>
      <c r="I12" s="65"/>
      <c r="J12" s="21">
        <v>2.4</v>
      </c>
      <c r="K12" s="66">
        <v>0.2</v>
      </c>
      <c r="L12" s="65"/>
      <c r="M12" s="21">
        <v>2.8</v>
      </c>
      <c r="N12" s="66">
        <v>0.0</v>
      </c>
      <c r="O12" s="65"/>
      <c r="P12" s="21"/>
      <c r="Q12" s="66">
        <v>0.0</v>
      </c>
      <c r="R12" s="65"/>
      <c r="S12" s="21"/>
      <c r="T12" s="66">
        <v>0.0</v>
      </c>
    </row>
    <row r="13" outlineLevel="2">
      <c r="A13" s="59" t="s">
        <v>78</v>
      </c>
      <c r="B13" s="47" t="s">
        <v>83</v>
      </c>
      <c r="C13" s="1" t="s">
        <v>87</v>
      </c>
      <c r="D13" s="21">
        <v>0.0</v>
      </c>
      <c r="E13" s="66">
        <v>0.0</v>
      </c>
      <c r="F13" s="65"/>
      <c r="G13" s="21">
        <v>0.0</v>
      </c>
      <c r="H13" s="66">
        <v>0.0</v>
      </c>
      <c r="I13" s="65"/>
      <c r="J13" s="21">
        <v>1.0</v>
      </c>
      <c r="K13" s="66">
        <v>0.0</v>
      </c>
      <c r="L13" s="65"/>
      <c r="M13" s="21">
        <v>2.5</v>
      </c>
      <c r="N13" s="66">
        <v>0.5</v>
      </c>
      <c r="O13" s="65"/>
      <c r="P13" s="21">
        <v>3.6</v>
      </c>
      <c r="Q13" s="66">
        <v>0.5</v>
      </c>
      <c r="R13" s="65"/>
      <c r="S13" s="21">
        <v>4.0</v>
      </c>
      <c r="T13" s="66">
        <v>0.5</v>
      </c>
    </row>
    <row r="14" outlineLevel="2">
      <c r="A14" s="59" t="s">
        <v>78</v>
      </c>
      <c r="B14" s="47" t="s">
        <v>83</v>
      </c>
      <c r="C14" s="1" t="s">
        <v>88</v>
      </c>
      <c r="D14" s="21">
        <v>0.0</v>
      </c>
      <c r="E14" s="66">
        <v>0.0</v>
      </c>
      <c r="F14" s="65"/>
      <c r="G14" s="21">
        <v>0.0</v>
      </c>
      <c r="H14" s="66">
        <v>0.0</v>
      </c>
      <c r="I14" s="65"/>
      <c r="J14" s="21">
        <v>1.0</v>
      </c>
      <c r="K14" s="66">
        <v>0.0</v>
      </c>
      <c r="L14" s="65"/>
      <c r="M14" s="21">
        <v>2.5</v>
      </c>
      <c r="N14" s="66">
        <v>0.5</v>
      </c>
      <c r="O14" s="65"/>
      <c r="P14" s="21">
        <v>3.6</v>
      </c>
      <c r="Q14" s="66">
        <v>0.5</v>
      </c>
      <c r="R14" s="65"/>
      <c r="S14" s="21">
        <v>4.0</v>
      </c>
      <c r="T14" s="66">
        <v>0.5</v>
      </c>
    </row>
    <row r="15" outlineLevel="1">
      <c r="A15" s="59" t="s">
        <v>78</v>
      </c>
      <c r="B15" s="47" t="s">
        <v>89</v>
      </c>
      <c r="C15" s="47"/>
      <c r="D15" s="63">
        <f>D16*E16+D17*E17+D18*E18+D19*E19</f>
        <v>1.29</v>
      </c>
      <c r="E15" s="64">
        <v>0.15</v>
      </c>
      <c r="F15" s="65"/>
      <c r="G15" s="63">
        <f>G16*H16+G17*H17+G18*H18+G19*H19</f>
        <v>2.07</v>
      </c>
      <c r="H15" s="64">
        <v>0.15</v>
      </c>
      <c r="I15" s="65"/>
      <c r="J15" s="63">
        <f>J16*K16+J17*K17+J18*K18+J19*K19</f>
        <v>2.46</v>
      </c>
      <c r="K15" s="64">
        <v>0.15</v>
      </c>
      <c r="L15" s="65"/>
      <c r="M15" s="63">
        <f>M16*N16+M17*N17+M18*N18+M19*N19</f>
        <v>3.25</v>
      </c>
      <c r="N15" s="64">
        <v>0.15</v>
      </c>
      <c r="O15" s="65"/>
      <c r="P15" s="63">
        <f>P16*Q16+P17*Q17+P18*Q18+P19*Q19</f>
        <v>3.705</v>
      </c>
      <c r="Q15" s="64">
        <v>0.15</v>
      </c>
      <c r="R15" s="65"/>
      <c r="S15" s="63">
        <f>S16*T16+S17*T17+S18*T18+S19*T19</f>
        <v>4</v>
      </c>
      <c r="T15" s="64">
        <v>0.15</v>
      </c>
    </row>
    <row r="16" outlineLevel="2">
      <c r="A16" s="59" t="s">
        <v>78</v>
      </c>
      <c r="B16" s="47" t="s">
        <v>89</v>
      </c>
      <c r="C16" s="1" t="s">
        <v>90</v>
      </c>
      <c r="D16" s="21">
        <v>1.4</v>
      </c>
      <c r="E16" s="66">
        <v>0.6</v>
      </c>
      <c r="F16" s="65"/>
      <c r="G16" s="21">
        <v>2.2</v>
      </c>
      <c r="H16" s="66">
        <v>0.55</v>
      </c>
      <c r="I16" s="65"/>
      <c r="J16" s="21">
        <v>2.2</v>
      </c>
      <c r="K16" s="66">
        <v>0.55</v>
      </c>
      <c r="L16" s="65"/>
      <c r="M16" s="21">
        <v>3.4</v>
      </c>
      <c r="N16" s="66">
        <v>0.5</v>
      </c>
      <c r="O16" s="65"/>
      <c r="P16" s="21">
        <v>3.8</v>
      </c>
      <c r="Q16" s="66">
        <v>0.5</v>
      </c>
      <c r="R16" s="65"/>
      <c r="S16" s="21">
        <v>4.0</v>
      </c>
      <c r="T16" s="66">
        <v>0.5</v>
      </c>
    </row>
    <row r="17" outlineLevel="2">
      <c r="A17" s="59" t="s">
        <v>78</v>
      </c>
      <c r="B17" s="47" t="s">
        <v>89</v>
      </c>
      <c r="C17" s="1" t="s">
        <v>91</v>
      </c>
      <c r="D17" s="21">
        <v>1.2</v>
      </c>
      <c r="E17" s="66">
        <v>0.25</v>
      </c>
      <c r="F17" s="65"/>
      <c r="G17" s="21">
        <v>2.0</v>
      </c>
      <c r="H17" s="66">
        <v>0.25</v>
      </c>
      <c r="I17" s="65"/>
      <c r="J17" s="21">
        <v>2.6</v>
      </c>
      <c r="K17" s="66">
        <v>0.25</v>
      </c>
      <c r="L17" s="65"/>
      <c r="M17" s="21">
        <v>3.2</v>
      </c>
      <c r="N17" s="66">
        <v>0.25</v>
      </c>
      <c r="O17" s="65"/>
      <c r="P17" s="21">
        <v>3.6</v>
      </c>
      <c r="Q17" s="66">
        <v>0.25</v>
      </c>
      <c r="R17" s="65"/>
      <c r="S17" s="21">
        <v>4.0</v>
      </c>
      <c r="T17" s="66">
        <v>0.25</v>
      </c>
    </row>
    <row r="18" outlineLevel="2">
      <c r="A18" s="59" t="s">
        <v>78</v>
      </c>
      <c r="B18" s="47" t="s">
        <v>89</v>
      </c>
      <c r="C18" s="1" t="s">
        <v>92</v>
      </c>
      <c r="D18" s="21">
        <v>1.0</v>
      </c>
      <c r="E18" s="66">
        <v>0.1</v>
      </c>
      <c r="F18" s="65"/>
      <c r="G18" s="21">
        <v>1.8</v>
      </c>
      <c r="H18" s="66">
        <v>0.15</v>
      </c>
      <c r="I18" s="65"/>
      <c r="J18" s="21">
        <v>2.4</v>
      </c>
      <c r="K18" s="66">
        <v>0.15</v>
      </c>
      <c r="L18" s="65"/>
      <c r="M18" s="21">
        <v>3.0</v>
      </c>
      <c r="N18" s="66">
        <v>0.15</v>
      </c>
      <c r="O18" s="65"/>
      <c r="P18" s="21">
        <v>3.5</v>
      </c>
      <c r="Q18" s="66">
        <v>0.15</v>
      </c>
      <c r="R18" s="65"/>
      <c r="S18" s="21">
        <v>4.0</v>
      </c>
      <c r="T18" s="66">
        <v>0.15</v>
      </c>
    </row>
    <row r="19" outlineLevel="2">
      <c r="A19" s="59" t="s">
        <v>78</v>
      </c>
      <c r="B19" s="47" t="s">
        <v>89</v>
      </c>
      <c r="C19" s="1" t="s">
        <v>93</v>
      </c>
      <c r="D19" s="21">
        <v>1.0</v>
      </c>
      <c r="E19" s="66">
        <v>0.05</v>
      </c>
      <c r="F19" s="65"/>
      <c r="G19" s="21">
        <v>1.8</v>
      </c>
      <c r="H19" s="66">
        <v>0.05</v>
      </c>
      <c r="I19" s="65"/>
      <c r="J19" s="21">
        <v>2.4</v>
      </c>
      <c r="K19" s="66">
        <v>0.1</v>
      </c>
      <c r="L19" s="65"/>
      <c r="M19" s="21">
        <v>3.0</v>
      </c>
      <c r="N19" s="66">
        <v>0.1</v>
      </c>
      <c r="O19" s="65"/>
      <c r="P19" s="21">
        <v>3.8</v>
      </c>
      <c r="Q19" s="66">
        <v>0.1</v>
      </c>
      <c r="R19" s="65"/>
      <c r="S19" s="21">
        <v>4.0</v>
      </c>
      <c r="T19" s="66">
        <v>0.1</v>
      </c>
    </row>
    <row r="20" outlineLevel="1">
      <c r="A20" s="59" t="s">
        <v>78</v>
      </c>
      <c r="B20" s="47" t="s">
        <v>94</v>
      </c>
      <c r="C20" s="47"/>
      <c r="D20" s="63">
        <f>D21*E21+D22*E22+D23*E23+D24*E24+D25*E25</f>
        <v>0.9</v>
      </c>
      <c r="E20" s="64">
        <v>0.1</v>
      </c>
      <c r="F20" s="65"/>
      <c r="G20" s="63">
        <f>G21*H21+G22*H22+G23*H23+G24*H24+G25*H25</f>
        <v>1.45</v>
      </c>
      <c r="H20" s="64">
        <v>0.12</v>
      </c>
      <c r="I20" s="65"/>
      <c r="J20" s="63">
        <f>J21*K21+J22*K22+J23*K23+J24*K24+J25*K25</f>
        <v>2.17</v>
      </c>
      <c r="K20" s="64">
        <v>0.15</v>
      </c>
      <c r="L20" s="65"/>
      <c r="M20" s="63">
        <f>M21*N21+M22*N22+M23*N23+M24*N24+M25*N25</f>
        <v>2.78</v>
      </c>
      <c r="N20" s="64">
        <v>0.15</v>
      </c>
      <c r="O20" s="65"/>
      <c r="P20" s="63">
        <f>P21*Q21+P22*Q22+P23*Q23+P24*Q24+P25*Q25</f>
        <v>3.72</v>
      </c>
      <c r="Q20" s="64">
        <v>0.15</v>
      </c>
      <c r="R20" s="65"/>
      <c r="S20" s="63">
        <f>S21*T21+S22*T22+S23*T23+S24*T24+S25*T25</f>
        <v>4</v>
      </c>
      <c r="T20" s="64">
        <v>0.15</v>
      </c>
    </row>
    <row r="21" outlineLevel="2">
      <c r="A21" s="59" t="s">
        <v>78</v>
      </c>
      <c r="B21" s="47" t="s">
        <v>94</v>
      </c>
      <c r="C21" s="1" t="s">
        <v>95</v>
      </c>
      <c r="D21" s="21">
        <v>2.0</v>
      </c>
      <c r="E21" s="66">
        <v>0.3</v>
      </c>
      <c r="F21" s="65"/>
      <c r="G21" s="21">
        <v>2.5</v>
      </c>
      <c r="H21" s="66">
        <v>0.25</v>
      </c>
      <c r="I21" s="65"/>
      <c r="J21" s="21">
        <v>3.0</v>
      </c>
      <c r="K21" s="66">
        <v>0.2</v>
      </c>
      <c r="L21" s="65"/>
      <c r="M21" s="21">
        <v>3.5</v>
      </c>
      <c r="N21" s="66">
        <v>0.0</v>
      </c>
      <c r="O21" s="65"/>
      <c r="P21" s="21">
        <v>3.5</v>
      </c>
      <c r="Q21" s="66">
        <v>0.0</v>
      </c>
      <c r="R21" s="65"/>
      <c r="S21" s="21">
        <v>4.0</v>
      </c>
      <c r="T21" s="66">
        <v>0.0</v>
      </c>
    </row>
    <row r="22" outlineLevel="2">
      <c r="A22" s="59" t="s">
        <v>78</v>
      </c>
      <c r="B22" s="47" t="s">
        <v>94</v>
      </c>
      <c r="C22" s="1" t="s">
        <v>96</v>
      </c>
      <c r="D22" s="21">
        <v>1.0</v>
      </c>
      <c r="E22" s="66">
        <v>0.3</v>
      </c>
      <c r="F22" s="65"/>
      <c r="G22" s="21">
        <v>1.8</v>
      </c>
      <c r="H22" s="66">
        <v>0.25</v>
      </c>
      <c r="I22" s="65"/>
      <c r="J22" s="21">
        <v>2.6</v>
      </c>
      <c r="K22" s="66">
        <v>0.2</v>
      </c>
      <c r="L22" s="65"/>
      <c r="M22" s="21">
        <v>3.4</v>
      </c>
      <c r="N22" s="66">
        <v>0.0</v>
      </c>
      <c r="O22" s="65"/>
      <c r="P22" s="21">
        <v>3.6</v>
      </c>
      <c r="Q22" s="66">
        <v>0.0</v>
      </c>
      <c r="R22" s="65"/>
      <c r="S22" s="21">
        <v>4.0</v>
      </c>
      <c r="T22" s="66">
        <v>0.0</v>
      </c>
    </row>
    <row r="23" outlineLevel="2">
      <c r="A23" s="59" t="s">
        <v>78</v>
      </c>
      <c r="B23" s="47" t="s">
        <v>94</v>
      </c>
      <c r="C23" s="1" t="s">
        <v>97</v>
      </c>
      <c r="D23" s="21">
        <v>0.0</v>
      </c>
      <c r="E23" s="66">
        <v>0.2</v>
      </c>
      <c r="F23" s="65"/>
      <c r="G23" s="21">
        <v>0.5</v>
      </c>
      <c r="H23" s="66">
        <v>0.25</v>
      </c>
      <c r="I23" s="65"/>
      <c r="J23" s="21">
        <v>1.5</v>
      </c>
      <c r="K23" s="66">
        <v>0.3</v>
      </c>
      <c r="L23" s="65"/>
      <c r="M23" s="21">
        <v>2.5</v>
      </c>
      <c r="N23" s="66">
        <v>0.4</v>
      </c>
      <c r="O23" s="65"/>
      <c r="P23" s="21">
        <v>3.8</v>
      </c>
      <c r="Q23" s="66">
        <v>0.4</v>
      </c>
      <c r="R23" s="65"/>
      <c r="S23" s="21">
        <v>4.0</v>
      </c>
      <c r="T23" s="66">
        <v>0.4</v>
      </c>
    </row>
    <row r="24" outlineLevel="2">
      <c r="A24" s="59" t="s">
        <v>78</v>
      </c>
      <c r="B24" s="47" t="s">
        <v>94</v>
      </c>
      <c r="C24" s="1" t="s">
        <v>98</v>
      </c>
      <c r="D24" s="21">
        <v>0.0</v>
      </c>
      <c r="E24" s="66">
        <v>0.2</v>
      </c>
      <c r="F24" s="65"/>
      <c r="G24" s="21">
        <v>1.0</v>
      </c>
      <c r="H24" s="66">
        <v>0.25</v>
      </c>
      <c r="I24" s="65"/>
      <c r="J24" s="21">
        <v>2.0</v>
      </c>
      <c r="K24" s="66">
        <v>0.3</v>
      </c>
      <c r="L24" s="65"/>
      <c r="M24" s="21">
        <v>3.0</v>
      </c>
      <c r="N24" s="66">
        <v>0.4</v>
      </c>
      <c r="O24" s="65"/>
      <c r="P24" s="21">
        <v>3.7</v>
      </c>
      <c r="Q24" s="66">
        <v>0.4</v>
      </c>
      <c r="R24" s="65"/>
      <c r="S24" s="21">
        <v>4.0</v>
      </c>
      <c r="T24" s="66">
        <v>0.4</v>
      </c>
    </row>
    <row r="25" outlineLevel="2">
      <c r="A25" s="59" t="s">
        <v>78</v>
      </c>
      <c r="B25" s="47" t="s">
        <v>94</v>
      </c>
      <c r="C25" s="1" t="s">
        <v>99</v>
      </c>
      <c r="D25" s="21">
        <v>0.5</v>
      </c>
      <c r="E25" s="66">
        <v>0.0</v>
      </c>
      <c r="F25" s="65"/>
      <c r="G25" s="21">
        <v>1.3</v>
      </c>
      <c r="H25" s="66">
        <v>0.0</v>
      </c>
      <c r="I25" s="65"/>
      <c r="J25" s="21">
        <v>2.1</v>
      </c>
      <c r="K25" s="66">
        <v>0.0</v>
      </c>
      <c r="L25" s="65"/>
      <c r="M25" s="21">
        <v>2.9</v>
      </c>
      <c r="N25" s="66">
        <v>0.2</v>
      </c>
      <c r="O25" s="65"/>
      <c r="P25" s="21">
        <v>3.6</v>
      </c>
      <c r="Q25" s="66">
        <v>0.2</v>
      </c>
      <c r="R25" s="65"/>
      <c r="S25" s="21">
        <v>4.0</v>
      </c>
      <c r="T25" s="66">
        <v>0.2</v>
      </c>
    </row>
    <row r="26" outlineLevel="1">
      <c r="A26" s="59" t="s">
        <v>78</v>
      </c>
      <c r="B26" s="47" t="s">
        <v>100</v>
      </c>
      <c r="C26" s="47"/>
      <c r="D26" s="63">
        <f>D27*E27+D28*E28+D29*E29+D30*E30+D31*E31+D32*E32</f>
        <v>1.28</v>
      </c>
      <c r="E26" s="64">
        <v>0.1</v>
      </c>
      <c r="F26" s="65"/>
      <c r="G26" s="63">
        <f>G27*H27+G28*H28+G29*H29+G30*H30+G31*H31+G32*H32</f>
        <v>1.995</v>
      </c>
      <c r="H26" s="64">
        <v>0.1</v>
      </c>
      <c r="I26" s="65"/>
      <c r="J26" s="63">
        <f>J27*K27+J28*K28+J29*K29+J30*K30+J31*K31+J32*K32</f>
        <v>2.71</v>
      </c>
      <c r="K26" s="64">
        <v>0.1</v>
      </c>
      <c r="L26" s="65"/>
      <c r="M26" s="63">
        <f>M27*N27+M28*N28+M29*N29+M30*N30+M31*N31+M32*N32</f>
        <v>3.19</v>
      </c>
      <c r="N26" s="64">
        <v>0.1</v>
      </c>
      <c r="O26" s="65"/>
      <c r="P26" s="63">
        <f>P27*Q27+P28*Q28+P29*Q29+P30*Q30+P31*Q31+P32*Q32</f>
        <v>3.62</v>
      </c>
      <c r="Q26" s="64">
        <v>0.1</v>
      </c>
      <c r="R26" s="65"/>
      <c r="S26" s="63">
        <f>S27*T27+S28*T28+S29*T29+S30*T30+S31*T31+S32*T32</f>
        <v>4</v>
      </c>
      <c r="T26" s="64">
        <v>0.1</v>
      </c>
    </row>
    <row r="27" outlineLevel="2">
      <c r="A27" s="59" t="s">
        <v>78</v>
      </c>
      <c r="B27" s="47" t="s">
        <v>100</v>
      </c>
      <c r="C27" s="1" t="s">
        <v>101</v>
      </c>
      <c r="D27" s="21">
        <v>1.2</v>
      </c>
      <c r="E27" s="66">
        <v>0.4</v>
      </c>
      <c r="F27" s="65"/>
      <c r="G27" s="21">
        <v>2.0</v>
      </c>
      <c r="H27" s="66">
        <v>0.35</v>
      </c>
      <c r="I27" s="65"/>
      <c r="J27" s="21">
        <v>2.8</v>
      </c>
      <c r="K27" s="66">
        <v>0.3</v>
      </c>
      <c r="L27" s="65"/>
      <c r="M27" s="21">
        <v>3.6</v>
      </c>
      <c r="N27" s="66">
        <v>0.3</v>
      </c>
      <c r="O27" s="65"/>
      <c r="P27" s="21">
        <v>3.6</v>
      </c>
      <c r="Q27" s="66">
        <v>0.3</v>
      </c>
      <c r="R27" s="65"/>
      <c r="S27" s="21">
        <v>4.0</v>
      </c>
      <c r="T27" s="66">
        <v>0.3</v>
      </c>
    </row>
    <row r="28" outlineLevel="2">
      <c r="A28" s="59" t="s">
        <v>78</v>
      </c>
      <c r="B28" s="47" t="s">
        <v>100</v>
      </c>
      <c r="C28" s="1" t="s">
        <v>102</v>
      </c>
      <c r="D28" s="21">
        <v>1.5</v>
      </c>
      <c r="E28" s="66">
        <v>0.4</v>
      </c>
      <c r="F28" s="65"/>
      <c r="G28" s="21">
        <v>2.3</v>
      </c>
      <c r="H28" s="66">
        <v>0.35</v>
      </c>
      <c r="I28" s="65"/>
      <c r="J28" s="21">
        <v>3.1</v>
      </c>
      <c r="K28" s="66">
        <v>0.3</v>
      </c>
      <c r="L28" s="65"/>
      <c r="M28" s="21">
        <v>3.7</v>
      </c>
      <c r="N28" s="66">
        <v>0.3</v>
      </c>
      <c r="O28" s="65"/>
      <c r="P28" s="21">
        <v>3.7</v>
      </c>
      <c r="Q28" s="66">
        <v>0.3</v>
      </c>
      <c r="R28" s="65"/>
      <c r="S28" s="21">
        <v>4.0</v>
      </c>
      <c r="T28" s="66">
        <v>0.2</v>
      </c>
    </row>
    <row r="29" outlineLevel="2">
      <c r="A29" s="59" t="s">
        <v>78</v>
      </c>
      <c r="B29" s="47" t="s">
        <v>100</v>
      </c>
      <c r="C29" s="1" t="s">
        <v>103</v>
      </c>
      <c r="D29" s="21">
        <v>1.0</v>
      </c>
      <c r="E29" s="66">
        <v>0.2</v>
      </c>
      <c r="F29" s="65"/>
      <c r="G29" s="21">
        <v>1.8</v>
      </c>
      <c r="H29" s="66">
        <v>0.2</v>
      </c>
      <c r="I29" s="65"/>
      <c r="J29" s="21">
        <v>2.6</v>
      </c>
      <c r="K29" s="66">
        <v>0.2</v>
      </c>
      <c r="L29" s="65"/>
      <c r="M29" s="21">
        <v>3.2</v>
      </c>
      <c r="N29" s="66">
        <v>0.0</v>
      </c>
      <c r="O29" s="65"/>
      <c r="P29" s="21">
        <v>3.4</v>
      </c>
      <c r="Q29" s="66">
        <v>0.0</v>
      </c>
      <c r="R29" s="65"/>
      <c r="S29" s="21">
        <v>4.0</v>
      </c>
      <c r="T29" s="66">
        <v>0.1</v>
      </c>
    </row>
    <row r="30" outlineLevel="2">
      <c r="A30" s="59" t="s">
        <v>78</v>
      </c>
      <c r="B30" s="47" t="s">
        <v>100</v>
      </c>
      <c r="C30" s="1" t="s">
        <v>104</v>
      </c>
      <c r="D30" s="21">
        <v>0.5</v>
      </c>
      <c r="E30" s="66">
        <v>0.0</v>
      </c>
      <c r="F30" s="65"/>
      <c r="G30" s="21">
        <v>1.3</v>
      </c>
      <c r="H30" s="66">
        <v>0.1</v>
      </c>
      <c r="I30" s="65"/>
      <c r="J30" s="21">
        <v>2.1</v>
      </c>
      <c r="K30" s="66">
        <v>0.2</v>
      </c>
      <c r="L30" s="65"/>
      <c r="M30" s="21">
        <v>2.9</v>
      </c>
      <c r="N30" s="66">
        <v>0.0</v>
      </c>
      <c r="O30" s="65"/>
      <c r="P30" s="21">
        <v>3.5</v>
      </c>
      <c r="Q30" s="66">
        <v>0.1</v>
      </c>
      <c r="R30" s="65"/>
      <c r="S30" s="21">
        <v>4.0</v>
      </c>
      <c r="T30" s="66">
        <v>0.1</v>
      </c>
    </row>
    <row r="31" outlineLevel="2">
      <c r="A31" s="59" t="s">
        <v>78</v>
      </c>
      <c r="B31" s="47" t="s">
        <v>100</v>
      </c>
      <c r="C31" s="1" t="s">
        <v>105</v>
      </c>
      <c r="D31" s="21">
        <v>0.8</v>
      </c>
      <c r="E31" s="66">
        <v>0.0</v>
      </c>
      <c r="F31" s="65"/>
      <c r="G31" s="21">
        <v>1.6</v>
      </c>
      <c r="H31" s="66">
        <v>0.0</v>
      </c>
      <c r="I31" s="65"/>
      <c r="J31" s="21">
        <v>2.4</v>
      </c>
      <c r="K31" s="66">
        <v>0.0</v>
      </c>
      <c r="L31" s="65"/>
      <c r="M31" s="21">
        <v>3.0</v>
      </c>
      <c r="N31" s="66">
        <v>0.0</v>
      </c>
      <c r="O31" s="65"/>
      <c r="P31" s="21">
        <v>3.4</v>
      </c>
      <c r="Q31" s="66">
        <v>0.1</v>
      </c>
      <c r="R31" s="65"/>
      <c r="S31" s="21">
        <v>4.0</v>
      </c>
      <c r="T31" s="66">
        <v>0.1</v>
      </c>
    </row>
    <row r="32" outlineLevel="2">
      <c r="A32" s="59" t="s">
        <v>78</v>
      </c>
      <c r="B32" s="47" t="s">
        <v>100</v>
      </c>
      <c r="C32" s="1" t="s">
        <v>106</v>
      </c>
      <c r="D32" s="21">
        <v>0.0</v>
      </c>
      <c r="E32" s="66">
        <v>0.0</v>
      </c>
      <c r="F32" s="65"/>
      <c r="G32" s="21">
        <v>0.5</v>
      </c>
      <c r="H32" s="66">
        <v>0.0</v>
      </c>
      <c r="I32" s="65"/>
      <c r="J32" s="21">
        <v>1.5</v>
      </c>
      <c r="K32" s="66">
        <v>0.0</v>
      </c>
      <c r="L32" s="65"/>
      <c r="M32" s="21">
        <v>2.5</v>
      </c>
      <c r="N32" s="66">
        <v>0.4</v>
      </c>
      <c r="O32" s="65"/>
      <c r="P32" s="21">
        <v>3.7</v>
      </c>
      <c r="Q32" s="66">
        <v>0.2</v>
      </c>
      <c r="R32" s="65"/>
      <c r="S32" s="21">
        <v>4.0</v>
      </c>
      <c r="T32" s="66">
        <v>0.2</v>
      </c>
    </row>
    <row r="33" outlineLevel="1">
      <c r="A33" s="59" t="s">
        <v>78</v>
      </c>
      <c r="B33" s="47" t="s">
        <v>107</v>
      </c>
      <c r="C33" s="47"/>
      <c r="D33" s="63">
        <f>D34*E34+D35*E35+D36*E36+D37*E37+D38*E38+D39*E39</f>
        <v>1.07</v>
      </c>
      <c r="E33" s="64">
        <v>0.05</v>
      </c>
      <c r="F33" s="65"/>
      <c r="G33" s="63">
        <f>G34*H34+G35*H35+G36*H36+G37*H37+G38*H38+G39*H39</f>
        <v>1.825</v>
      </c>
      <c r="H33" s="64">
        <v>0.08</v>
      </c>
      <c r="I33" s="65"/>
      <c r="J33" s="63">
        <f>J34*K34+J35*K35+J36*K36+J37*K37+J38*K38+J39*K39</f>
        <v>2.525</v>
      </c>
      <c r="K33" s="64">
        <v>0.1</v>
      </c>
      <c r="L33" s="65"/>
      <c r="M33" s="63">
        <f>M34*N34+M35*N35+M36*N36+M37*N37+M38*N38+M39*N39</f>
        <v>2.98</v>
      </c>
      <c r="N33" s="64">
        <v>0.15</v>
      </c>
      <c r="O33" s="65"/>
      <c r="P33" s="63">
        <f>P34*Q34+P35*Q35+P36*Q36+P37*Q37+P38*Q38+P39*Q39</f>
        <v>3.64</v>
      </c>
      <c r="Q33" s="64">
        <v>0.15</v>
      </c>
      <c r="R33" s="65"/>
      <c r="S33" s="63">
        <f>S34*T34+S35*T35+S36*T36+S37*T37+S38*T38+S39*T39</f>
        <v>4</v>
      </c>
      <c r="T33" s="64">
        <v>0.15</v>
      </c>
    </row>
    <row r="34" outlineLevel="2">
      <c r="A34" s="59" t="s">
        <v>78</v>
      </c>
      <c r="B34" s="47" t="s">
        <v>107</v>
      </c>
      <c r="C34" s="1" t="s">
        <v>108</v>
      </c>
      <c r="D34" s="21">
        <v>1.2</v>
      </c>
      <c r="E34" s="66">
        <v>0.6</v>
      </c>
      <c r="F34" s="65"/>
      <c r="G34" s="21">
        <v>2.0</v>
      </c>
      <c r="H34" s="66">
        <v>0.55</v>
      </c>
      <c r="I34" s="65"/>
      <c r="J34" s="21">
        <v>2.8</v>
      </c>
      <c r="K34" s="66">
        <v>0.4</v>
      </c>
      <c r="L34" s="65"/>
      <c r="M34" s="21">
        <v>3.4</v>
      </c>
      <c r="N34" s="66">
        <v>0.3</v>
      </c>
      <c r="O34" s="65"/>
      <c r="P34" s="21">
        <v>3.8</v>
      </c>
      <c r="Q34" s="66">
        <v>0.3</v>
      </c>
      <c r="R34" s="65"/>
      <c r="S34" s="21">
        <v>4.0</v>
      </c>
      <c r="T34" s="66">
        <v>0.4</v>
      </c>
    </row>
    <row r="35" outlineLevel="2">
      <c r="A35" s="59" t="s">
        <v>78</v>
      </c>
      <c r="B35" s="47" t="s">
        <v>107</v>
      </c>
      <c r="C35" s="1" t="s">
        <v>109</v>
      </c>
      <c r="D35" s="21">
        <v>1.0</v>
      </c>
      <c r="E35" s="66">
        <v>0.3</v>
      </c>
      <c r="F35" s="65"/>
      <c r="G35" s="21">
        <v>1.8</v>
      </c>
      <c r="H35" s="66">
        <v>0.25</v>
      </c>
      <c r="I35" s="65"/>
      <c r="J35" s="21">
        <v>2.6</v>
      </c>
      <c r="K35" s="66">
        <v>0.2</v>
      </c>
      <c r="L35" s="65"/>
      <c r="M35" s="21">
        <v>3.2</v>
      </c>
      <c r="N35" s="66">
        <v>0.0</v>
      </c>
      <c r="O35" s="65"/>
      <c r="P35" s="21">
        <v>3.4</v>
      </c>
      <c r="Q35" s="66">
        <v>0.0</v>
      </c>
      <c r="R35" s="65"/>
      <c r="S35" s="21">
        <v>4.0</v>
      </c>
      <c r="T35" s="66">
        <v>0.0</v>
      </c>
    </row>
    <row r="36" outlineLevel="2">
      <c r="A36" s="59" t="s">
        <v>78</v>
      </c>
      <c r="B36" s="47" t="s">
        <v>107</v>
      </c>
      <c r="C36" s="1" t="s">
        <v>110</v>
      </c>
      <c r="D36" s="21">
        <v>0.5</v>
      </c>
      <c r="E36" s="66">
        <v>0.1</v>
      </c>
      <c r="F36" s="65"/>
      <c r="G36" s="21">
        <v>1.3</v>
      </c>
      <c r="H36" s="66">
        <v>0.15</v>
      </c>
      <c r="I36" s="65"/>
      <c r="J36" s="21">
        <v>2.1</v>
      </c>
      <c r="K36" s="66">
        <v>0.2</v>
      </c>
      <c r="L36" s="65"/>
      <c r="M36" s="21">
        <v>2.9</v>
      </c>
      <c r="N36" s="66">
        <v>0.2</v>
      </c>
      <c r="O36" s="65"/>
      <c r="P36" s="21">
        <v>3.6</v>
      </c>
      <c r="Q36" s="66">
        <v>0.2</v>
      </c>
      <c r="R36" s="65"/>
      <c r="S36" s="21">
        <v>4.0</v>
      </c>
      <c r="T36" s="66">
        <v>0.2</v>
      </c>
    </row>
    <row r="37" outlineLevel="2">
      <c r="A37" s="59" t="s">
        <v>78</v>
      </c>
      <c r="B37" s="47" t="s">
        <v>107</v>
      </c>
      <c r="C37" s="1" t="s">
        <v>111</v>
      </c>
      <c r="D37" s="21">
        <v>0.8</v>
      </c>
      <c r="E37" s="66">
        <v>0.0</v>
      </c>
      <c r="F37" s="65"/>
      <c r="G37" s="21">
        <v>1.6</v>
      </c>
      <c r="H37" s="66">
        <v>0.05</v>
      </c>
      <c r="I37" s="65"/>
      <c r="J37" s="21">
        <v>2.4</v>
      </c>
      <c r="K37" s="66">
        <v>0.15</v>
      </c>
      <c r="L37" s="65"/>
      <c r="M37" s="21">
        <v>3.0</v>
      </c>
      <c r="N37" s="66">
        <v>0.2</v>
      </c>
      <c r="O37" s="65"/>
      <c r="P37" s="21">
        <v>3.5</v>
      </c>
      <c r="Q37" s="66">
        <v>0.2</v>
      </c>
      <c r="R37" s="65"/>
      <c r="S37" s="21">
        <v>4.0</v>
      </c>
      <c r="T37" s="66">
        <v>0.2</v>
      </c>
    </row>
    <row r="38" outlineLevel="2">
      <c r="A38" s="59" t="s">
        <v>78</v>
      </c>
      <c r="B38" s="47" t="s">
        <v>107</v>
      </c>
      <c r="C38" s="1" t="s">
        <v>112</v>
      </c>
      <c r="D38" s="21">
        <v>0.5</v>
      </c>
      <c r="E38" s="66">
        <v>0.0</v>
      </c>
      <c r="F38" s="65"/>
      <c r="G38" s="21">
        <v>1.3</v>
      </c>
      <c r="H38" s="66">
        <v>0.0</v>
      </c>
      <c r="I38" s="65"/>
      <c r="J38" s="21">
        <v>2.1</v>
      </c>
      <c r="K38" s="66">
        <v>0.05</v>
      </c>
      <c r="L38" s="65"/>
      <c r="M38" s="21">
        <v>2.9</v>
      </c>
      <c r="N38" s="66">
        <v>0.2</v>
      </c>
      <c r="O38" s="65"/>
      <c r="P38" s="21">
        <v>3.7</v>
      </c>
      <c r="Q38" s="66">
        <v>0.2</v>
      </c>
      <c r="R38" s="65"/>
      <c r="S38" s="21">
        <v>4.0</v>
      </c>
      <c r="T38" s="66">
        <v>0.2</v>
      </c>
    </row>
    <row r="39" outlineLevel="2">
      <c r="A39" s="59" t="s">
        <v>78</v>
      </c>
      <c r="B39" s="47" t="s">
        <v>107</v>
      </c>
      <c r="C39" s="1" t="s">
        <v>59</v>
      </c>
      <c r="D39" s="21">
        <v>0.0</v>
      </c>
      <c r="E39" s="66">
        <v>0.0</v>
      </c>
      <c r="F39" s="65"/>
      <c r="G39" s="21">
        <v>0.0</v>
      </c>
      <c r="H39" s="66">
        <v>0.0</v>
      </c>
      <c r="I39" s="65"/>
      <c r="J39" s="21">
        <v>1.0</v>
      </c>
      <c r="K39" s="66">
        <v>0.0</v>
      </c>
      <c r="L39" s="65"/>
      <c r="M39" s="21">
        <v>2.0</v>
      </c>
      <c r="N39" s="66">
        <v>0.1</v>
      </c>
      <c r="O39" s="65"/>
      <c r="P39" s="21">
        <v>3.4</v>
      </c>
      <c r="Q39" s="66">
        <v>0.1</v>
      </c>
      <c r="R39" s="65"/>
      <c r="S39" s="21">
        <v>4.0</v>
      </c>
      <c r="T39" s="66">
        <v>0.0</v>
      </c>
    </row>
    <row r="40" outlineLevel="1">
      <c r="A40" s="59" t="s">
        <v>78</v>
      </c>
      <c r="B40" s="7"/>
      <c r="C40" s="7"/>
      <c r="D40" s="7"/>
      <c r="E40" s="67">
        <f>E4+E9+E15+E20+E26+E33</f>
        <v>1</v>
      </c>
      <c r="F40" s="62"/>
      <c r="G40" s="7"/>
      <c r="H40" s="67">
        <f>H4+H9+H15+H20+H26+H33</f>
        <v>1</v>
      </c>
      <c r="I40" s="62"/>
      <c r="J40" s="7"/>
      <c r="K40" s="67">
        <f>K4+K9+K15+K20+K26+K33</f>
        <v>1</v>
      </c>
      <c r="L40" s="62"/>
      <c r="M40" s="7"/>
      <c r="N40" s="67">
        <f>N4+N9+N15+N20+N26+N33</f>
        <v>1</v>
      </c>
      <c r="O40" s="62"/>
      <c r="P40" s="7"/>
      <c r="Q40" s="67">
        <f>Q4+Q9+Q15+Q20+Q26+Q33</f>
        <v>1</v>
      </c>
      <c r="R40" s="62"/>
      <c r="S40" s="7"/>
      <c r="T40" s="67">
        <f>T4+T9+T15+T20+T26+T33</f>
        <v>1</v>
      </c>
    </row>
    <row r="41" collapsed="1">
      <c r="A41" s="59" t="s">
        <v>113</v>
      </c>
      <c r="B41" s="7"/>
      <c r="C41" s="7"/>
      <c r="D41" s="60">
        <f>D42*E42+D47*E47+D52*E52+D56*E56+D61*E61</f>
        <v>1.2286</v>
      </c>
      <c r="E41" s="61">
        <v>0.25</v>
      </c>
      <c r="F41" s="62"/>
      <c r="G41" s="60">
        <f>G42*H42+G47*H47+G52*H52+G56*H56+G61*H61</f>
        <v>1.7285</v>
      </c>
      <c r="H41" s="61">
        <v>0.3</v>
      </c>
      <c r="I41" s="62"/>
      <c r="J41" s="60">
        <f>J42*K42+J47*K47+J52*K52+J56*K56+J61*K61</f>
        <v>2.264</v>
      </c>
      <c r="K41" s="61">
        <v>0.3</v>
      </c>
      <c r="L41" s="62"/>
      <c r="M41" s="60">
        <f>M42*N42+M47*N47+M52*N52+M56*N56+M61*N61</f>
        <v>2.807</v>
      </c>
      <c r="N41" s="61">
        <v>0.4</v>
      </c>
      <c r="O41" s="62"/>
      <c r="P41" s="60">
        <f>P42*Q42+P47*Q47+P52*Q52+P56*Q56+P61*Q61</f>
        <v>3.348</v>
      </c>
      <c r="Q41" s="61">
        <v>0.4</v>
      </c>
      <c r="R41" s="62"/>
      <c r="S41" s="60">
        <f>S42*T42+S47*T47+S52*T52+S56*T56+S61*T61</f>
        <v>3.848</v>
      </c>
      <c r="T41" s="61">
        <v>0.4</v>
      </c>
    </row>
    <row r="42" hidden="1" outlineLevel="1">
      <c r="A42" s="59" t="s">
        <v>113</v>
      </c>
      <c r="B42" s="47" t="s">
        <v>114</v>
      </c>
      <c r="C42" s="47"/>
      <c r="D42" s="63">
        <f>D43*E43+D44*E44+D45*E45+D46*E46</f>
        <v>0.85</v>
      </c>
      <c r="E42" s="64">
        <v>0.4</v>
      </c>
      <c r="F42" s="65"/>
      <c r="G42" s="63">
        <f>G43*H43+G44*H44+G45*H45+G46*H46</f>
        <v>1.53</v>
      </c>
      <c r="H42" s="64">
        <v>0.4</v>
      </c>
      <c r="I42" s="65"/>
      <c r="J42" s="63">
        <f>J43*K43+J44*K44+J45*K45+J46*K46</f>
        <v>2.31</v>
      </c>
      <c r="K42" s="64">
        <v>0.4</v>
      </c>
      <c r="L42" s="65"/>
      <c r="M42" s="63">
        <f>M43*N43+M44*N44+M45*N45+M46*N46</f>
        <v>3</v>
      </c>
      <c r="N42" s="64">
        <v>0.4</v>
      </c>
      <c r="O42" s="65"/>
      <c r="P42" s="63">
        <f>P43*Q43+P44*Q44+P45*Q45+P46*Q46</f>
        <v>3.62</v>
      </c>
      <c r="Q42" s="64">
        <v>0.4</v>
      </c>
      <c r="R42" s="65"/>
      <c r="S42" s="63">
        <f>S43*T43+S44*T44+S45*T45+S46*T46</f>
        <v>4</v>
      </c>
      <c r="T42" s="64">
        <v>0.4</v>
      </c>
    </row>
    <row r="43" hidden="1" outlineLevel="2">
      <c r="A43" s="59" t="s">
        <v>113</v>
      </c>
      <c r="B43" s="47" t="s">
        <v>114</v>
      </c>
      <c r="C43" s="1" t="s">
        <v>115</v>
      </c>
      <c r="D43" s="21">
        <v>1.0</v>
      </c>
      <c r="E43" s="66">
        <v>0.3</v>
      </c>
      <c r="F43" s="65"/>
      <c r="G43" s="21">
        <v>1.8</v>
      </c>
      <c r="H43" s="66">
        <v>0.3</v>
      </c>
      <c r="I43" s="65"/>
      <c r="J43" s="21">
        <v>2.6</v>
      </c>
      <c r="K43" s="66">
        <v>0.3</v>
      </c>
      <c r="L43" s="65"/>
      <c r="M43" s="21">
        <v>3.2</v>
      </c>
      <c r="N43" s="66">
        <v>0.3</v>
      </c>
      <c r="O43" s="65"/>
      <c r="P43" s="21">
        <v>3.8</v>
      </c>
      <c r="Q43" s="66">
        <v>0.3</v>
      </c>
      <c r="R43" s="65"/>
      <c r="S43" s="21">
        <v>4.0</v>
      </c>
      <c r="T43" s="66">
        <v>0.3</v>
      </c>
    </row>
    <row r="44" hidden="1" outlineLevel="2">
      <c r="A44" s="59" t="s">
        <v>113</v>
      </c>
      <c r="B44" s="47" t="s">
        <v>114</v>
      </c>
      <c r="C44" s="1" t="s">
        <v>116</v>
      </c>
      <c r="D44" s="21">
        <v>1.5</v>
      </c>
      <c r="E44" s="66">
        <v>0.3</v>
      </c>
      <c r="F44" s="65"/>
      <c r="G44" s="21">
        <v>2.1</v>
      </c>
      <c r="H44" s="66">
        <v>0.3</v>
      </c>
      <c r="I44" s="65"/>
      <c r="J44" s="21">
        <v>2.7</v>
      </c>
      <c r="K44" s="66">
        <v>0.3</v>
      </c>
      <c r="L44" s="65"/>
      <c r="M44" s="21">
        <v>3.2</v>
      </c>
      <c r="N44" s="66">
        <v>0.3</v>
      </c>
      <c r="O44" s="65"/>
      <c r="P44" s="21">
        <v>3.6</v>
      </c>
      <c r="Q44" s="66">
        <v>0.3</v>
      </c>
      <c r="R44" s="65"/>
      <c r="S44" s="21">
        <v>4.0</v>
      </c>
      <c r="T44" s="66">
        <v>0.3</v>
      </c>
    </row>
    <row r="45" hidden="1" outlineLevel="2">
      <c r="A45" s="59" t="s">
        <v>113</v>
      </c>
      <c r="B45" s="47" t="s">
        <v>114</v>
      </c>
      <c r="C45" s="1" t="s">
        <v>117</v>
      </c>
      <c r="D45" s="21">
        <v>0.5</v>
      </c>
      <c r="E45" s="66">
        <v>0.2</v>
      </c>
      <c r="F45" s="65"/>
      <c r="G45" s="21">
        <v>1.3</v>
      </c>
      <c r="H45" s="66">
        <v>0.2</v>
      </c>
      <c r="I45" s="65"/>
      <c r="J45" s="21">
        <v>2.1</v>
      </c>
      <c r="K45" s="66">
        <v>0.2</v>
      </c>
      <c r="L45" s="65"/>
      <c r="M45" s="21">
        <v>2.9</v>
      </c>
      <c r="N45" s="66">
        <v>0.2</v>
      </c>
      <c r="O45" s="65"/>
      <c r="P45" s="21">
        <v>3.5</v>
      </c>
      <c r="Q45" s="66">
        <v>0.2</v>
      </c>
      <c r="R45" s="65"/>
      <c r="S45" s="21">
        <v>4.0</v>
      </c>
      <c r="T45" s="66">
        <v>0.2</v>
      </c>
    </row>
    <row r="46" hidden="1" outlineLevel="2">
      <c r="A46" s="59" t="s">
        <v>113</v>
      </c>
      <c r="B46" s="47" t="s">
        <v>114</v>
      </c>
      <c r="C46" s="1" t="s">
        <v>59</v>
      </c>
      <c r="D46" s="21">
        <v>0.0</v>
      </c>
      <c r="E46" s="66">
        <v>0.2</v>
      </c>
      <c r="F46" s="65"/>
      <c r="G46" s="21">
        <v>0.5</v>
      </c>
      <c r="H46" s="66">
        <v>0.2</v>
      </c>
      <c r="I46" s="65"/>
      <c r="J46" s="21">
        <v>1.5</v>
      </c>
      <c r="K46" s="66">
        <v>0.2</v>
      </c>
      <c r="L46" s="65"/>
      <c r="M46" s="21">
        <v>2.5</v>
      </c>
      <c r="N46" s="66">
        <v>0.2</v>
      </c>
      <c r="O46" s="65"/>
      <c r="P46" s="21">
        <v>3.5</v>
      </c>
      <c r="Q46" s="66">
        <v>0.2</v>
      </c>
      <c r="R46" s="65"/>
      <c r="S46" s="21">
        <v>4.0</v>
      </c>
      <c r="T46" s="66">
        <v>0.2</v>
      </c>
    </row>
    <row r="47" hidden="1" outlineLevel="1">
      <c r="A47" s="59" t="s">
        <v>113</v>
      </c>
      <c r="B47" s="47" t="s">
        <v>118</v>
      </c>
      <c r="C47" s="47"/>
      <c r="D47" s="63">
        <f>D48*E48+D49*E49+D50*E50+D51*E51</f>
        <v>1.25</v>
      </c>
      <c r="E47" s="64">
        <v>0.3</v>
      </c>
      <c r="F47" s="65"/>
      <c r="G47" s="63">
        <f>G48*H48+G49*H49+G50*H50+G51*H51</f>
        <v>1.6</v>
      </c>
      <c r="H47" s="64">
        <v>0.25</v>
      </c>
      <c r="I47" s="65"/>
      <c r="J47" s="63">
        <f>J48*K48+J49*K49+J50*K50+J51*K51</f>
        <v>1.96</v>
      </c>
      <c r="K47" s="64">
        <v>0.2</v>
      </c>
      <c r="L47" s="65"/>
      <c r="M47" s="63">
        <f>M48*N48+M49*N49+M50*N50+M51*N51</f>
        <v>2.39</v>
      </c>
      <c r="N47" s="64">
        <v>0.2</v>
      </c>
      <c r="O47" s="65"/>
      <c r="P47" s="63">
        <f>P48*Q48+P49*Q49+P50*Q50+P51*Q51</f>
        <v>2.84</v>
      </c>
      <c r="Q47" s="64">
        <v>0.2</v>
      </c>
      <c r="R47" s="65"/>
      <c r="S47" s="63">
        <f>S48*T48+S49*T49+S50*T50+S51*T51</f>
        <v>3.44</v>
      </c>
      <c r="T47" s="64">
        <v>0.2</v>
      </c>
    </row>
    <row r="48" hidden="1" outlineLevel="2">
      <c r="A48" s="59" t="s">
        <v>113</v>
      </c>
      <c r="B48" s="47" t="s">
        <v>118</v>
      </c>
      <c r="C48" s="1" t="s">
        <v>119</v>
      </c>
      <c r="D48" s="21">
        <v>1.2</v>
      </c>
      <c r="E48" s="66">
        <v>0.5</v>
      </c>
      <c r="F48" s="65"/>
      <c r="G48" s="21">
        <v>1.6</v>
      </c>
      <c r="H48" s="66">
        <v>0.5</v>
      </c>
      <c r="I48" s="65"/>
      <c r="J48" s="21">
        <v>2.0</v>
      </c>
      <c r="K48" s="66">
        <v>0.5</v>
      </c>
      <c r="L48" s="65"/>
      <c r="M48" s="21">
        <v>2.4</v>
      </c>
      <c r="N48" s="66">
        <v>0.5</v>
      </c>
      <c r="O48" s="65"/>
      <c r="P48" s="21">
        <v>3.2</v>
      </c>
      <c r="Q48" s="66">
        <v>0.5</v>
      </c>
      <c r="R48" s="65"/>
      <c r="S48" s="21">
        <v>4.0</v>
      </c>
      <c r="T48" s="66">
        <v>0.5</v>
      </c>
    </row>
    <row r="49" hidden="1" outlineLevel="2">
      <c r="A49" s="59" t="s">
        <v>113</v>
      </c>
      <c r="B49" s="47" t="s">
        <v>118</v>
      </c>
      <c r="C49" s="1" t="s">
        <v>120</v>
      </c>
      <c r="D49" s="21">
        <v>2.0</v>
      </c>
      <c r="E49" s="66">
        <v>0.3</v>
      </c>
      <c r="F49" s="65"/>
      <c r="G49" s="21">
        <v>2.4</v>
      </c>
      <c r="H49" s="66">
        <v>0.25</v>
      </c>
      <c r="I49" s="65"/>
      <c r="J49" s="21">
        <v>2.8</v>
      </c>
      <c r="K49" s="66">
        <v>0.2</v>
      </c>
      <c r="L49" s="65"/>
      <c r="M49" s="21">
        <v>3.2</v>
      </c>
      <c r="N49" s="66">
        <v>0.2</v>
      </c>
      <c r="O49" s="65"/>
      <c r="P49" s="21">
        <v>3.4</v>
      </c>
      <c r="Q49" s="66">
        <v>0.2</v>
      </c>
      <c r="R49" s="65"/>
      <c r="S49" s="21">
        <v>4.0</v>
      </c>
      <c r="T49" s="66">
        <v>0.2</v>
      </c>
    </row>
    <row r="50" hidden="1" outlineLevel="2">
      <c r="A50" s="59" t="s">
        <v>113</v>
      </c>
      <c r="B50" s="47" t="s">
        <v>118</v>
      </c>
      <c r="C50" s="1" t="s">
        <v>121</v>
      </c>
      <c r="D50" s="21">
        <v>0.5</v>
      </c>
      <c r="E50" s="66">
        <v>0.1</v>
      </c>
      <c r="F50" s="65"/>
      <c r="G50" s="21">
        <v>1.0</v>
      </c>
      <c r="H50" s="66">
        <v>0.15</v>
      </c>
      <c r="I50" s="65"/>
      <c r="J50" s="21">
        <v>1.5</v>
      </c>
      <c r="K50" s="66">
        <v>0.2</v>
      </c>
      <c r="L50" s="65"/>
      <c r="M50" s="21">
        <v>2.0</v>
      </c>
      <c r="N50" s="66">
        <v>0.2</v>
      </c>
      <c r="O50" s="65"/>
      <c r="P50" s="21">
        <v>2.8</v>
      </c>
      <c r="Q50" s="66">
        <v>0.1</v>
      </c>
      <c r="R50" s="65"/>
      <c r="S50" s="21">
        <v>3.2</v>
      </c>
      <c r="T50" s="66">
        <v>0.1</v>
      </c>
    </row>
    <row r="51" hidden="1" outlineLevel="2">
      <c r="A51" s="59" t="s">
        <v>113</v>
      </c>
      <c r="B51" s="47" t="s">
        <v>118</v>
      </c>
      <c r="C51" s="1" t="s">
        <v>122</v>
      </c>
      <c r="D51" s="21">
        <v>0.0</v>
      </c>
      <c r="E51" s="66">
        <v>0.1</v>
      </c>
      <c r="F51" s="65"/>
      <c r="G51" s="21">
        <v>0.5</v>
      </c>
      <c r="H51" s="66">
        <v>0.1</v>
      </c>
      <c r="I51" s="65"/>
      <c r="J51" s="21">
        <v>1.0</v>
      </c>
      <c r="K51" s="66">
        <v>0.1</v>
      </c>
      <c r="L51" s="65"/>
      <c r="M51" s="21">
        <v>1.5</v>
      </c>
      <c r="N51" s="66">
        <v>0.1</v>
      </c>
      <c r="O51" s="65"/>
      <c r="P51" s="21">
        <v>2.8</v>
      </c>
      <c r="Q51" s="66">
        <v>0.1</v>
      </c>
      <c r="R51" s="65"/>
      <c r="S51" s="21">
        <v>3.2</v>
      </c>
      <c r="T51" s="66">
        <v>0.1</v>
      </c>
    </row>
    <row r="52" hidden="1" outlineLevel="1">
      <c r="A52" s="59" t="s">
        <v>113</v>
      </c>
      <c r="B52" s="47" t="s">
        <v>123</v>
      </c>
      <c r="C52" s="47"/>
      <c r="D52" s="63">
        <f>D53*E53+D54*E54+D55*E55</f>
        <v>1.85</v>
      </c>
      <c r="E52" s="64">
        <v>0.2</v>
      </c>
      <c r="F52" s="65"/>
      <c r="G52" s="63">
        <f>G53*H53+G54*H54+G55*H55</f>
        <v>2.15</v>
      </c>
      <c r="H52" s="64">
        <v>0.2</v>
      </c>
      <c r="I52" s="65"/>
      <c r="J52" s="63">
        <f>J53*K53+J54*K54+J55*K55</f>
        <v>2.45</v>
      </c>
      <c r="K52" s="64">
        <v>0.2</v>
      </c>
      <c r="L52" s="65"/>
      <c r="M52" s="63">
        <f>M53*N53+M54*N54+M55*N55</f>
        <v>2.8</v>
      </c>
      <c r="N52" s="64">
        <v>0.2</v>
      </c>
      <c r="O52" s="65"/>
      <c r="P52" s="63">
        <f>P53*Q53+P54*Q54+P55*Q55</f>
        <v>3.25</v>
      </c>
      <c r="Q52" s="64">
        <v>0.2</v>
      </c>
      <c r="R52" s="65"/>
      <c r="S52" s="63">
        <f>S53*T53+S54*T54+S55*T55</f>
        <v>3.9</v>
      </c>
      <c r="T52" s="64">
        <v>0.2</v>
      </c>
    </row>
    <row r="53" hidden="1" outlineLevel="2">
      <c r="A53" s="59" t="s">
        <v>113</v>
      </c>
      <c r="B53" s="47" t="s">
        <v>123</v>
      </c>
      <c r="C53" s="1" t="s">
        <v>124</v>
      </c>
      <c r="D53" s="21">
        <v>2.0</v>
      </c>
      <c r="E53" s="66">
        <v>0.6</v>
      </c>
      <c r="F53" s="65"/>
      <c r="G53" s="21">
        <v>2.4</v>
      </c>
      <c r="H53" s="66">
        <v>0.55</v>
      </c>
      <c r="I53" s="65"/>
      <c r="J53" s="21">
        <v>2.8</v>
      </c>
      <c r="K53" s="66">
        <v>0.5</v>
      </c>
      <c r="L53" s="65"/>
      <c r="M53" s="21">
        <v>3.2</v>
      </c>
      <c r="N53" s="66">
        <v>0.5</v>
      </c>
      <c r="O53" s="65"/>
      <c r="P53" s="21">
        <v>3.4</v>
      </c>
      <c r="Q53" s="66">
        <v>0.5</v>
      </c>
      <c r="R53" s="65"/>
      <c r="S53" s="21">
        <v>4.0</v>
      </c>
      <c r="T53" s="66">
        <v>0.5</v>
      </c>
    </row>
    <row r="54" hidden="1" outlineLevel="2">
      <c r="A54" s="59" t="s">
        <v>113</v>
      </c>
      <c r="B54" s="47" t="s">
        <v>123</v>
      </c>
      <c r="C54" s="1" t="s">
        <v>125</v>
      </c>
      <c r="D54" s="21">
        <v>2.0</v>
      </c>
      <c r="E54" s="66">
        <v>0.25</v>
      </c>
      <c r="F54" s="65"/>
      <c r="G54" s="21">
        <v>2.2</v>
      </c>
      <c r="H54" s="66">
        <v>0.25</v>
      </c>
      <c r="I54" s="65"/>
      <c r="J54" s="21">
        <v>2.4</v>
      </c>
      <c r="K54" s="66">
        <v>0.25</v>
      </c>
      <c r="L54" s="65"/>
      <c r="M54" s="21">
        <v>2.6</v>
      </c>
      <c r="N54" s="66">
        <v>0.25</v>
      </c>
      <c r="O54" s="65"/>
      <c r="P54" s="21">
        <v>3.0</v>
      </c>
      <c r="Q54" s="66">
        <v>0.25</v>
      </c>
      <c r="R54" s="65"/>
      <c r="S54" s="21">
        <v>3.6</v>
      </c>
      <c r="T54" s="66">
        <v>0.25</v>
      </c>
    </row>
    <row r="55" hidden="1" outlineLevel="2">
      <c r="A55" s="59" t="s">
        <v>113</v>
      </c>
      <c r="B55" s="47" t="s">
        <v>123</v>
      </c>
      <c r="C55" s="1" t="s">
        <v>126</v>
      </c>
      <c r="D55" s="21">
        <v>1.0</v>
      </c>
      <c r="E55" s="66">
        <v>0.15</v>
      </c>
      <c r="F55" s="65"/>
      <c r="G55" s="21">
        <v>1.4</v>
      </c>
      <c r="H55" s="66">
        <v>0.2</v>
      </c>
      <c r="I55" s="65"/>
      <c r="J55" s="21">
        <v>1.8</v>
      </c>
      <c r="K55" s="66">
        <v>0.25</v>
      </c>
      <c r="L55" s="65"/>
      <c r="M55" s="21">
        <v>2.2</v>
      </c>
      <c r="N55" s="66">
        <v>0.25</v>
      </c>
      <c r="O55" s="65"/>
      <c r="P55" s="21">
        <v>3.2</v>
      </c>
      <c r="Q55" s="66">
        <v>0.25</v>
      </c>
      <c r="R55" s="65"/>
      <c r="S55" s="21">
        <v>4.0</v>
      </c>
      <c r="T55" s="66">
        <v>0.25</v>
      </c>
    </row>
    <row r="56" hidden="1" outlineLevel="1">
      <c r="A56" s="59" t="s">
        <v>113</v>
      </c>
      <c r="B56" s="47" t="s">
        <v>127</v>
      </c>
      <c r="C56" s="47"/>
      <c r="D56" s="63">
        <f>D57*E57+D58*E58+D59*E59+D60*E60</f>
        <v>1.545</v>
      </c>
      <c r="E56" s="64">
        <v>0.08</v>
      </c>
      <c r="F56" s="65"/>
      <c r="G56" s="63">
        <f>G57*H57+G58*H58+G59*H59+G60*H60</f>
        <v>2.165</v>
      </c>
      <c r="H56" s="64">
        <v>0.1</v>
      </c>
      <c r="I56" s="65"/>
      <c r="J56" s="63">
        <f>J57*K57+J58*K58+J59*K59+J60*K60</f>
        <v>2.78</v>
      </c>
      <c r="K56" s="64">
        <v>0.1</v>
      </c>
      <c r="L56" s="65"/>
      <c r="M56" s="63">
        <f>M57*N57+M58*N58+M59*N59+M60*N60</f>
        <v>3.29</v>
      </c>
      <c r="N56" s="64">
        <v>0.1</v>
      </c>
      <c r="O56" s="65"/>
      <c r="P56" s="63">
        <f>P57*Q57+P58*Q58+P59*Q59+P60*Q60</f>
        <v>3.62</v>
      </c>
      <c r="Q56" s="64">
        <v>0.1</v>
      </c>
      <c r="R56" s="65"/>
      <c r="S56" s="63">
        <f>S57*T57+S58*T58+S59*T59+S60*T60</f>
        <v>4</v>
      </c>
      <c r="T56" s="64">
        <v>0.1</v>
      </c>
    </row>
    <row r="57" hidden="1" outlineLevel="2">
      <c r="A57" s="59" t="s">
        <v>113</v>
      </c>
      <c r="B57" s="47" t="s">
        <v>127</v>
      </c>
      <c r="C57" s="1" t="s">
        <v>128</v>
      </c>
      <c r="D57" s="21">
        <v>1.0</v>
      </c>
      <c r="E57" s="66">
        <v>0.5</v>
      </c>
      <c r="F57" s="65"/>
      <c r="G57" s="21">
        <v>1.8</v>
      </c>
      <c r="H57" s="66">
        <v>0.5</v>
      </c>
      <c r="I57" s="65"/>
      <c r="J57" s="21">
        <v>2.6</v>
      </c>
      <c r="K57" s="66">
        <v>0.5</v>
      </c>
      <c r="L57" s="65"/>
      <c r="M57" s="21">
        <v>3.2</v>
      </c>
      <c r="N57" s="66">
        <v>0.5</v>
      </c>
      <c r="O57" s="65"/>
      <c r="P57" s="21">
        <v>3.6</v>
      </c>
      <c r="Q57" s="66">
        <v>0.5</v>
      </c>
      <c r="R57" s="65"/>
      <c r="S57" s="21">
        <v>4.0</v>
      </c>
      <c r="T57" s="66">
        <v>0.5</v>
      </c>
    </row>
    <row r="58" hidden="1" outlineLevel="2">
      <c r="A58" s="59" t="s">
        <v>113</v>
      </c>
      <c r="B58" s="47" t="s">
        <v>127</v>
      </c>
      <c r="C58" s="1" t="s">
        <v>129</v>
      </c>
      <c r="D58" s="21">
        <v>2.5</v>
      </c>
      <c r="E58" s="66">
        <v>0.3</v>
      </c>
      <c r="F58" s="65"/>
      <c r="G58" s="21">
        <v>3.0</v>
      </c>
      <c r="H58" s="66">
        <v>0.25</v>
      </c>
      <c r="I58" s="65"/>
      <c r="J58" s="21">
        <v>3.5</v>
      </c>
      <c r="K58" s="66">
        <v>0.2</v>
      </c>
      <c r="L58" s="65"/>
      <c r="M58" s="21">
        <v>3.8</v>
      </c>
      <c r="N58" s="66">
        <v>0.2</v>
      </c>
      <c r="O58" s="65"/>
      <c r="P58" s="21">
        <v>3.8</v>
      </c>
      <c r="Q58" s="66">
        <v>0.2</v>
      </c>
      <c r="R58" s="65"/>
      <c r="S58" s="21">
        <v>4.0</v>
      </c>
      <c r="T58" s="66">
        <v>0.2</v>
      </c>
    </row>
    <row r="59" hidden="1" outlineLevel="2">
      <c r="A59" s="59" t="s">
        <v>113</v>
      </c>
      <c r="B59" s="47" t="s">
        <v>127</v>
      </c>
      <c r="C59" s="1" t="s">
        <v>130</v>
      </c>
      <c r="D59" s="21">
        <v>1.5</v>
      </c>
      <c r="E59" s="66">
        <v>0.15</v>
      </c>
      <c r="F59" s="65"/>
      <c r="G59" s="21">
        <v>2.1</v>
      </c>
      <c r="H59" s="66">
        <v>0.2</v>
      </c>
      <c r="I59" s="65"/>
      <c r="J59" s="21">
        <v>2.7</v>
      </c>
      <c r="K59" s="66">
        <v>0.2</v>
      </c>
      <c r="L59" s="65"/>
      <c r="M59" s="21">
        <v>3.2</v>
      </c>
      <c r="N59" s="66">
        <v>0.2</v>
      </c>
      <c r="O59" s="65"/>
      <c r="P59" s="21">
        <v>3.6</v>
      </c>
      <c r="Q59" s="66">
        <v>0.2</v>
      </c>
      <c r="R59" s="65"/>
      <c r="S59" s="21">
        <v>4.0</v>
      </c>
      <c r="T59" s="66">
        <v>0.2</v>
      </c>
    </row>
    <row r="60" hidden="1" outlineLevel="2">
      <c r="A60" s="59" t="s">
        <v>113</v>
      </c>
      <c r="B60" s="47" t="s">
        <v>127</v>
      </c>
      <c r="C60" s="1" t="s">
        <v>131</v>
      </c>
      <c r="D60" s="21">
        <v>1.4</v>
      </c>
      <c r="E60" s="66">
        <v>0.05</v>
      </c>
      <c r="F60" s="65"/>
      <c r="G60" s="21">
        <v>1.9</v>
      </c>
      <c r="H60" s="66">
        <v>0.05</v>
      </c>
      <c r="I60" s="65"/>
      <c r="J60" s="21">
        <v>2.4</v>
      </c>
      <c r="K60" s="66">
        <v>0.1</v>
      </c>
      <c r="L60" s="65"/>
      <c r="M60" s="21">
        <v>2.9</v>
      </c>
      <c r="N60" s="66">
        <v>0.1</v>
      </c>
      <c r="O60" s="65"/>
      <c r="P60" s="21">
        <v>3.4</v>
      </c>
      <c r="Q60" s="66">
        <v>0.1</v>
      </c>
      <c r="R60" s="65"/>
      <c r="S60" s="21">
        <v>4.0</v>
      </c>
      <c r="T60" s="66">
        <v>0.1</v>
      </c>
    </row>
    <row r="61" hidden="1" outlineLevel="1">
      <c r="A61" s="59" t="s">
        <v>113</v>
      </c>
      <c r="B61" s="47" t="s">
        <v>132</v>
      </c>
      <c r="C61" s="47"/>
      <c r="D61" s="63">
        <f>D62*E62</f>
        <v>1</v>
      </c>
      <c r="E61" s="64">
        <v>0.02</v>
      </c>
      <c r="F61" s="65"/>
      <c r="G61" s="63">
        <f>G62*H62</f>
        <v>1.4</v>
      </c>
      <c r="H61" s="64">
        <v>0.05</v>
      </c>
      <c r="I61" s="65"/>
      <c r="J61" s="63">
        <f>J62*K62</f>
        <v>1.8</v>
      </c>
      <c r="K61" s="64">
        <v>0.1</v>
      </c>
      <c r="L61" s="65"/>
      <c r="M61" s="63">
        <f>M62*N62</f>
        <v>2.4</v>
      </c>
      <c r="N61" s="64">
        <v>0.1</v>
      </c>
      <c r="O61" s="65"/>
      <c r="P61" s="63">
        <f>P62*Q62</f>
        <v>3.2</v>
      </c>
      <c r="Q61" s="64">
        <v>0.1</v>
      </c>
      <c r="R61" s="65"/>
      <c r="S61" s="63">
        <f>S62*T62</f>
        <v>3.8</v>
      </c>
      <c r="T61" s="64">
        <v>0.1</v>
      </c>
    </row>
    <row r="62" hidden="1" outlineLevel="2">
      <c r="A62" s="59" t="s">
        <v>113</v>
      </c>
      <c r="B62" s="47" t="s">
        <v>132</v>
      </c>
      <c r="C62" s="1" t="s">
        <v>133</v>
      </c>
      <c r="D62" s="21">
        <v>1.0</v>
      </c>
      <c r="E62" s="66">
        <v>1.0</v>
      </c>
      <c r="F62" s="65"/>
      <c r="G62" s="21">
        <v>1.4</v>
      </c>
      <c r="H62" s="66">
        <v>1.0</v>
      </c>
      <c r="I62" s="65"/>
      <c r="J62" s="21">
        <v>1.8</v>
      </c>
      <c r="K62" s="66">
        <v>1.0</v>
      </c>
      <c r="L62" s="65"/>
      <c r="M62" s="21">
        <v>2.4</v>
      </c>
      <c r="N62" s="66">
        <v>1.0</v>
      </c>
      <c r="O62" s="65"/>
      <c r="P62" s="21">
        <v>3.2</v>
      </c>
      <c r="Q62" s="66">
        <v>1.0</v>
      </c>
      <c r="R62" s="65"/>
      <c r="S62" s="21">
        <v>3.8</v>
      </c>
      <c r="T62" s="66">
        <v>1.0</v>
      </c>
    </row>
    <row r="63" hidden="1" outlineLevel="1">
      <c r="A63" s="59" t="s">
        <v>113</v>
      </c>
      <c r="B63" s="7"/>
      <c r="C63" s="7"/>
      <c r="D63" s="7"/>
      <c r="E63" s="67">
        <f>E42+E47+E52+E56+E61</f>
        <v>1</v>
      </c>
      <c r="F63" s="62"/>
      <c r="G63" s="7"/>
      <c r="H63" s="67">
        <f>H42+H47+H52+H56+H61</f>
        <v>1</v>
      </c>
      <c r="I63" s="62"/>
      <c r="J63" s="7"/>
      <c r="K63" s="67">
        <f>K42+K47+K52+K56+K61</f>
        <v>1</v>
      </c>
      <c r="L63" s="62"/>
      <c r="M63" s="7"/>
      <c r="N63" s="67">
        <f>N42+N47+N52+N56+N61</f>
        <v>1</v>
      </c>
      <c r="O63" s="62"/>
      <c r="P63" s="7"/>
      <c r="Q63" s="67">
        <f>Q42+Q47+Q52+Q56+Q61</f>
        <v>1</v>
      </c>
      <c r="R63" s="62"/>
      <c r="S63" s="7"/>
      <c r="T63" s="67">
        <f>T42+T47+T52+T56+T61</f>
        <v>1</v>
      </c>
    </row>
    <row r="64" collapsed="1">
      <c r="A64" s="59" t="s">
        <v>134</v>
      </c>
      <c r="B64" s="7"/>
      <c r="C64" s="7"/>
      <c r="D64" s="60">
        <f>D65*E65+D69*E69+D74*E74+D79*E79+D84*E84</f>
        <v>0.529</v>
      </c>
      <c r="E64" s="61">
        <v>0.05</v>
      </c>
      <c r="F64" s="62"/>
      <c r="G64" s="60">
        <f>G65*H65+G69*H69+G74*H74+G79*H79+G84*H84</f>
        <v>0.933</v>
      </c>
      <c r="H64" s="61">
        <v>0.05</v>
      </c>
      <c r="I64" s="62"/>
      <c r="J64" s="60">
        <f>J65*K65+J69*K69+J74*K74+J79*K79+J84*K84</f>
        <v>1.2755</v>
      </c>
      <c r="K64" s="61">
        <v>0.1</v>
      </c>
      <c r="L64" s="62"/>
      <c r="M64" s="60">
        <f>M65*N65+M69*N69+M74*N74+M79*N79+M84*N84</f>
        <v>1.598</v>
      </c>
      <c r="N64" s="61">
        <v>0.2</v>
      </c>
      <c r="O64" s="62"/>
      <c r="P64" s="60">
        <f>P65*Q65+P69*Q69+P74*Q74+P79*Q79+P84*Q84</f>
        <v>2.598</v>
      </c>
      <c r="Q64" s="61">
        <v>0.2</v>
      </c>
      <c r="R64" s="62"/>
      <c r="S64" s="60">
        <f>S65*T65+S69*T69+S74*T74+S79*T79+S84*T84</f>
        <v>3.5</v>
      </c>
      <c r="T64" s="61">
        <v>0.2</v>
      </c>
    </row>
    <row r="65" hidden="1" outlineLevel="1">
      <c r="A65" s="59" t="s">
        <v>134</v>
      </c>
      <c r="B65" s="47" t="s">
        <v>135</v>
      </c>
      <c r="C65" s="47"/>
      <c r="D65" s="63">
        <f>D66*E66+D67*E67+D68*E68</f>
        <v>0</v>
      </c>
      <c r="E65" s="64">
        <v>0.2</v>
      </c>
      <c r="F65" s="65"/>
      <c r="G65" s="63">
        <f>G66*H66+G67*H67+G68*H68</f>
        <v>0.2</v>
      </c>
      <c r="H65" s="64">
        <v>0.2</v>
      </c>
      <c r="I65" s="65"/>
      <c r="J65" s="63">
        <f>J66*K66+J67*K67+J68*K68</f>
        <v>0.48</v>
      </c>
      <c r="K65" s="64">
        <v>0.3</v>
      </c>
      <c r="L65" s="65"/>
      <c r="M65" s="63">
        <f>M66*N66+M67*N67+M68*N68</f>
        <v>0.95</v>
      </c>
      <c r="N65" s="64">
        <v>0.4</v>
      </c>
      <c r="O65" s="65"/>
      <c r="P65" s="63">
        <f>P66*Q66+P67*Q67+P68*Q68</f>
        <v>2.24</v>
      </c>
      <c r="Q65" s="64">
        <v>0.4</v>
      </c>
      <c r="R65" s="65"/>
      <c r="S65" s="63">
        <f>S66*T66+S67*T67+S68*T68</f>
        <v>3.4</v>
      </c>
      <c r="T65" s="64">
        <v>0.4</v>
      </c>
    </row>
    <row r="66" hidden="1" outlineLevel="2">
      <c r="A66" s="59" t="s">
        <v>134</v>
      </c>
      <c r="B66" s="47" t="s">
        <v>135</v>
      </c>
      <c r="C66" s="1" t="s">
        <v>136</v>
      </c>
      <c r="D66" s="21">
        <v>0.0</v>
      </c>
      <c r="E66" s="66">
        <v>0.4</v>
      </c>
      <c r="F66" s="65"/>
      <c r="G66" s="21">
        <v>0.0</v>
      </c>
      <c r="H66" s="66">
        <v>0.4</v>
      </c>
      <c r="I66" s="65"/>
      <c r="J66" s="21">
        <v>0.2</v>
      </c>
      <c r="K66" s="66">
        <v>0.4</v>
      </c>
      <c r="L66" s="65"/>
      <c r="M66" s="21">
        <v>0.8</v>
      </c>
      <c r="N66" s="66">
        <v>0.5</v>
      </c>
      <c r="O66" s="65"/>
      <c r="P66" s="21">
        <v>2.4</v>
      </c>
      <c r="Q66" s="66">
        <v>0.5</v>
      </c>
      <c r="R66" s="65"/>
      <c r="S66" s="21">
        <v>3.6</v>
      </c>
      <c r="T66" s="66">
        <v>0.5</v>
      </c>
    </row>
    <row r="67" hidden="1" outlineLevel="2">
      <c r="A67" s="59" t="s">
        <v>134</v>
      </c>
      <c r="B67" s="47" t="s">
        <v>135</v>
      </c>
      <c r="C67" s="1" t="s">
        <v>137</v>
      </c>
      <c r="D67" s="21">
        <v>0.0</v>
      </c>
      <c r="E67" s="66">
        <v>0.4</v>
      </c>
      <c r="F67" s="65"/>
      <c r="G67" s="21">
        <v>0.5</v>
      </c>
      <c r="H67" s="66">
        <v>0.4</v>
      </c>
      <c r="I67" s="65"/>
      <c r="J67" s="21">
        <v>1.0</v>
      </c>
      <c r="K67" s="66">
        <v>0.4</v>
      </c>
      <c r="L67" s="65"/>
      <c r="M67" s="21">
        <v>1.5</v>
      </c>
      <c r="N67" s="66">
        <v>0.3</v>
      </c>
      <c r="O67" s="65"/>
      <c r="P67" s="21">
        <v>2.8</v>
      </c>
      <c r="Q67" s="66">
        <v>0.3</v>
      </c>
      <c r="R67" s="65"/>
      <c r="S67" s="21">
        <v>4.0</v>
      </c>
      <c r="T67" s="66">
        <v>0.3</v>
      </c>
    </row>
    <row r="68" hidden="1" outlineLevel="2">
      <c r="A68" s="59" t="s">
        <v>134</v>
      </c>
      <c r="B68" s="47" t="s">
        <v>135</v>
      </c>
      <c r="C68" s="1" t="s">
        <v>138</v>
      </c>
      <c r="D68" s="21">
        <v>0.0</v>
      </c>
      <c r="E68" s="66">
        <v>0.2</v>
      </c>
      <c r="F68" s="65"/>
      <c r="G68" s="21">
        <v>0.0</v>
      </c>
      <c r="H68" s="66">
        <v>0.2</v>
      </c>
      <c r="I68" s="65"/>
      <c r="J68" s="21">
        <v>0.0</v>
      </c>
      <c r="K68" s="66">
        <v>0.2</v>
      </c>
      <c r="L68" s="65"/>
      <c r="M68" s="21">
        <v>0.5</v>
      </c>
      <c r="N68" s="66">
        <v>0.2</v>
      </c>
      <c r="O68" s="65"/>
      <c r="P68" s="21">
        <v>1.0</v>
      </c>
      <c r="Q68" s="66">
        <v>0.2</v>
      </c>
      <c r="R68" s="65"/>
      <c r="S68" s="21">
        <v>2.0</v>
      </c>
      <c r="T68" s="66">
        <v>0.2</v>
      </c>
    </row>
    <row r="69" hidden="1" outlineLevel="1">
      <c r="A69" s="59" t="s">
        <v>134</v>
      </c>
      <c r="B69" s="47" t="s">
        <v>139</v>
      </c>
      <c r="C69" s="47"/>
      <c r="D69" s="63">
        <f>D70*E70+D71*E71+D72*E72+D73*E73</f>
        <v>0.73</v>
      </c>
      <c r="E69" s="64">
        <v>0.3</v>
      </c>
      <c r="F69" s="65"/>
      <c r="G69" s="63">
        <f>G70*H70+G71*H71+G72*H72+G73*H73</f>
        <v>1.35</v>
      </c>
      <c r="H69" s="64">
        <v>0.3</v>
      </c>
      <c r="I69" s="65"/>
      <c r="J69" s="63">
        <f>J70*K70+J71*K71+J72*K72+J73*K73</f>
        <v>1.97</v>
      </c>
      <c r="K69" s="64">
        <v>0.3</v>
      </c>
      <c r="L69" s="65"/>
      <c r="M69" s="63">
        <f>M70*N70+M71*N71+M72*N72+M73*N73</f>
        <v>2.74</v>
      </c>
      <c r="N69" s="64">
        <v>0.2</v>
      </c>
      <c r="O69" s="65"/>
      <c r="P69" s="63">
        <f>P70*Q70+P71*Q71+P72*Q72+P73*Q73</f>
        <v>3.6</v>
      </c>
      <c r="Q69" s="64">
        <v>0.2</v>
      </c>
      <c r="R69" s="65"/>
      <c r="S69" s="63">
        <f>S70*T70+S71*T71+S72*T72+S73*T73</f>
        <v>4</v>
      </c>
      <c r="T69" s="64">
        <v>0.2</v>
      </c>
    </row>
    <row r="70" hidden="1" outlineLevel="2">
      <c r="A70" s="59" t="s">
        <v>134</v>
      </c>
      <c r="B70" s="47" t="s">
        <v>139</v>
      </c>
      <c r="C70" s="1" t="s">
        <v>140</v>
      </c>
      <c r="D70" s="21">
        <v>0.5</v>
      </c>
      <c r="E70" s="66">
        <v>0.4</v>
      </c>
      <c r="F70" s="65"/>
      <c r="G70" s="21">
        <v>1.1</v>
      </c>
      <c r="H70" s="66">
        <v>0.4</v>
      </c>
      <c r="I70" s="65"/>
      <c r="J70" s="21">
        <v>1.7</v>
      </c>
      <c r="K70" s="66">
        <v>0.4</v>
      </c>
      <c r="L70" s="65"/>
      <c r="M70" s="21">
        <v>2.5</v>
      </c>
      <c r="N70" s="66">
        <v>0.5</v>
      </c>
      <c r="O70" s="65"/>
      <c r="P70" s="21">
        <v>3.6</v>
      </c>
      <c r="Q70" s="66">
        <v>0.5</v>
      </c>
      <c r="R70" s="65"/>
      <c r="S70" s="21">
        <v>4.0</v>
      </c>
      <c r="T70" s="66">
        <v>0.5</v>
      </c>
    </row>
    <row r="71" hidden="1" outlineLevel="2">
      <c r="A71" s="59" t="s">
        <v>134</v>
      </c>
      <c r="B71" s="47" t="s">
        <v>139</v>
      </c>
      <c r="C71" s="1" t="s">
        <v>141</v>
      </c>
      <c r="D71" s="21">
        <v>0.8</v>
      </c>
      <c r="E71" s="66">
        <v>0.3</v>
      </c>
      <c r="F71" s="65"/>
      <c r="G71" s="21">
        <v>1.4</v>
      </c>
      <c r="H71" s="66">
        <v>0.3</v>
      </c>
      <c r="I71" s="65"/>
      <c r="J71" s="21">
        <v>2.0</v>
      </c>
      <c r="K71" s="66">
        <v>0.3</v>
      </c>
      <c r="L71" s="65"/>
      <c r="M71" s="21">
        <v>2.8</v>
      </c>
      <c r="N71" s="66">
        <v>0.2</v>
      </c>
      <c r="O71" s="65"/>
      <c r="P71" s="21">
        <v>3.4</v>
      </c>
      <c r="Q71" s="66">
        <v>0.2</v>
      </c>
      <c r="R71" s="65"/>
      <c r="S71" s="21">
        <v>4.0</v>
      </c>
      <c r="T71" s="66">
        <v>0.2</v>
      </c>
    </row>
    <row r="72" hidden="1" outlineLevel="2">
      <c r="A72" s="59" t="s">
        <v>134</v>
      </c>
      <c r="B72" s="47" t="s">
        <v>139</v>
      </c>
      <c r="C72" s="1" t="s">
        <v>142</v>
      </c>
      <c r="D72" s="21">
        <v>1.2</v>
      </c>
      <c r="E72" s="66">
        <v>0.2</v>
      </c>
      <c r="F72" s="65"/>
      <c r="G72" s="21">
        <v>1.8</v>
      </c>
      <c r="H72" s="66">
        <v>0.2</v>
      </c>
      <c r="I72" s="65"/>
      <c r="J72" s="21">
        <v>2.4</v>
      </c>
      <c r="K72" s="66">
        <v>0.2</v>
      </c>
      <c r="L72" s="65"/>
      <c r="M72" s="21">
        <v>3.2</v>
      </c>
      <c r="N72" s="66">
        <v>0.2</v>
      </c>
      <c r="O72" s="65"/>
      <c r="P72" s="21">
        <v>3.8</v>
      </c>
      <c r="Q72" s="66">
        <v>0.2</v>
      </c>
      <c r="R72" s="65"/>
      <c r="S72" s="21">
        <v>4.0</v>
      </c>
      <c r="T72" s="66">
        <v>0.2</v>
      </c>
    </row>
    <row r="73" hidden="1" outlineLevel="2">
      <c r="A73" s="59" t="s">
        <v>134</v>
      </c>
      <c r="B73" s="47" t="s">
        <v>139</v>
      </c>
      <c r="C73" s="1" t="s">
        <v>143</v>
      </c>
      <c r="D73" s="21">
        <v>0.5</v>
      </c>
      <c r="E73" s="66">
        <v>0.1</v>
      </c>
      <c r="F73" s="65"/>
      <c r="G73" s="21">
        <v>1.3</v>
      </c>
      <c r="H73" s="66">
        <v>0.1</v>
      </c>
      <c r="I73" s="65"/>
      <c r="J73" s="21">
        <v>2.1</v>
      </c>
      <c r="K73" s="66">
        <v>0.1</v>
      </c>
      <c r="L73" s="65"/>
      <c r="M73" s="21">
        <v>2.9</v>
      </c>
      <c r="N73" s="66">
        <v>0.1</v>
      </c>
      <c r="O73" s="65"/>
      <c r="P73" s="21">
        <v>3.6</v>
      </c>
      <c r="Q73" s="66">
        <v>0.1</v>
      </c>
      <c r="R73" s="65"/>
      <c r="S73" s="21">
        <v>4.0</v>
      </c>
      <c r="T73" s="66">
        <v>0.1</v>
      </c>
    </row>
    <row r="74" hidden="1" outlineLevel="1">
      <c r="A74" s="59" t="s">
        <v>134</v>
      </c>
      <c r="B74" s="47" t="s">
        <v>144</v>
      </c>
      <c r="C74" s="47"/>
      <c r="D74" s="63">
        <f>D75*E75+D76*E76+D77*E77+D78*E78</f>
        <v>0.85</v>
      </c>
      <c r="E74" s="64">
        <v>0.2</v>
      </c>
      <c r="F74" s="65"/>
      <c r="G74" s="63">
        <f>G75*H75+G76*H76+G77*H77+G78*H78</f>
        <v>1.22</v>
      </c>
      <c r="H74" s="64">
        <v>0.2</v>
      </c>
      <c r="I74" s="65"/>
      <c r="J74" s="63">
        <f>J75*K75+J76*K76+J77*K77+J78*K78</f>
        <v>1.59</v>
      </c>
      <c r="K74" s="64">
        <v>0.2</v>
      </c>
      <c r="L74" s="65"/>
      <c r="M74" s="63">
        <f>M75*N75+M76*N76+M77*N77+M78*N78</f>
        <v>2</v>
      </c>
      <c r="N74" s="64">
        <v>0.1</v>
      </c>
      <c r="O74" s="65"/>
      <c r="P74" s="63">
        <f>P75*Q75+P76*Q76+P77*Q77+P78*Q78</f>
        <v>2.6</v>
      </c>
      <c r="Q74" s="64">
        <v>0.1</v>
      </c>
      <c r="R74" s="65"/>
      <c r="S74" s="63">
        <f>S75*T75+S76*T76+S77*T77+S78*T78</f>
        <v>3.54</v>
      </c>
      <c r="T74" s="64">
        <v>0.1</v>
      </c>
    </row>
    <row r="75" hidden="1" outlineLevel="2">
      <c r="A75" s="59" t="s">
        <v>134</v>
      </c>
      <c r="B75" s="47" t="s">
        <v>144</v>
      </c>
      <c r="C75" s="1" t="s">
        <v>145</v>
      </c>
      <c r="D75" s="21">
        <v>1.0</v>
      </c>
      <c r="E75" s="66">
        <v>0.5</v>
      </c>
      <c r="F75" s="65"/>
      <c r="G75" s="21">
        <v>1.5</v>
      </c>
      <c r="H75" s="66">
        <v>0.5</v>
      </c>
      <c r="I75" s="65"/>
      <c r="J75" s="21">
        <v>2.0</v>
      </c>
      <c r="K75" s="66">
        <v>0.5</v>
      </c>
      <c r="L75" s="65"/>
      <c r="M75" s="21">
        <v>2.5</v>
      </c>
      <c r="N75" s="66">
        <v>0.5</v>
      </c>
      <c r="O75" s="65"/>
      <c r="P75" s="21">
        <v>3.0</v>
      </c>
      <c r="Q75" s="66">
        <v>0.5</v>
      </c>
      <c r="R75" s="65"/>
      <c r="S75" s="21">
        <v>4.0</v>
      </c>
      <c r="T75" s="66">
        <v>0.5</v>
      </c>
    </row>
    <row r="76" hidden="1" outlineLevel="2">
      <c r="A76" s="59" t="s">
        <v>134</v>
      </c>
      <c r="B76" s="47" t="s">
        <v>144</v>
      </c>
      <c r="C76" s="1" t="s">
        <v>146</v>
      </c>
      <c r="D76" s="21">
        <v>0.0</v>
      </c>
      <c r="E76" s="66">
        <v>0.2</v>
      </c>
      <c r="F76" s="65"/>
      <c r="G76" s="21">
        <v>0.2</v>
      </c>
      <c r="H76" s="66">
        <v>0.2</v>
      </c>
      <c r="I76" s="65"/>
      <c r="J76" s="21">
        <v>0.4</v>
      </c>
      <c r="K76" s="66">
        <v>0.2</v>
      </c>
      <c r="L76" s="65"/>
      <c r="M76" s="21">
        <v>0.8</v>
      </c>
      <c r="N76" s="66">
        <v>0.2</v>
      </c>
      <c r="O76" s="65"/>
      <c r="P76" s="21">
        <v>2.0</v>
      </c>
      <c r="Q76" s="66">
        <v>0.2</v>
      </c>
      <c r="R76" s="65"/>
      <c r="S76" s="21">
        <v>3.0</v>
      </c>
      <c r="T76" s="66">
        <v>0.2</v>
      </c>
    </row>
    <row r="77" hidden="1" outlineLevel="2">
      <c r="A77" s="59" t="s">
        <v>134</v>
      </c>
      <c r="B77" s="47" t="s">
        <v>144</v>
      </c>
      <c r="C77" s="1" t="s">
        <v>147</v>
      </c>
      <c r="D77" s="21">
        <v>1.0</v>
      </c>
      <c r="E77" s="66">
        <v>0.2</v>
      </c>
      <c r="F77" s="65"/>
      <c r="G77" s="21">
        <v>1.3</v>
      </c>
      <c r="H77" s="66">
        <v>0.2</v>
      </c>
      <c r="I77" s="65"/>
      <c r="J77" s="21">
        <v>1.6</v>
      </c>
      <c r="K77" s="66">
        <v>0.2</v>
      </c>
      <c r="L77" s="65"/>
      <c r="M77" s="21">
        <v>1.9</v>
      </c>
      <c r="N77" s="66">
        <v>0.2</v>
      </c>
      <c r="O77" s="65"/>
      <c r="P77" s="21">
        <v>2.4</v>
      </c>
      <c r="Q77" s="66">
        <v>0.2</v>
      </c>
      <c r="R77" s="65"/>
      <c r="S77" s="21">
        <v>3.2</v>
      </c>
      <c r="T77" s="66">
        <v>0.2</v>
      </c>
    </row>
    <row r="78" hidden="1" outlineLevel="2">
      <c r="A78" s="59" t="s">
        <v>134</v>
      </c>
      <c r="B78" s="47" t="s">
        <v>144</v>
      </c>
      <c r="C78" s="1" t="s">
        <v>148</v>
      </c>
      <c r="D78" s="21">
        <v>1.5</v>
      </c>
      <c r="E78" s="66">
        <v>0.1</v>
      </c>
      <c r="F78" s="65"/>
      <c r="G78" s="21">
        <v>1.7</v>
      </c>
      <c r="H78" s="66">
        <v>0.1</v>
      </c>
      <c r="I78" s="65"/>
      <c r="J78" s="21">
        <v>1.9</v>
      </c>
      <c r="K78" s="66">
        <v>0.1</v>
      </c>
      <c r="L78" s="65"/>
      <c r="M78" s="21">
        <v>2.1</v>
      </c>
      <c r="N78" s="66">
        <v>0.1</v>
      </c>
      <c r="O78" s="65"/>
      <c r="P78" s="21">
        <v>2.2</v>
      </c>
      <c r="Q78" s="66">
        <v>0.1</v>
      </c>
      <c r="R78" s="65"/>
      <c r="S78" s="21">
        <v>3.0</v>
      </c>
      <c r="T78" s="66">
        <v>0.1</v>
      </c>
    </row>
    <row r="79" hidden="1" outlineLevel="1">
      <c r="A79" s="59" t="s">
        <v>134</v>
      </c>
      <c r="B79" s="47" t="s">
        <v>149</v>
      </c>
      <c r="C79" s="47"/>
      <c r="D79" s="63">
        <f>D80*E80+D81*E81+D82*E82+D83*E83</f>
        <v>0.15</v>
      </c>
      <c r="E79" s="64">
        <v>0.2</v>
      </c>
      <c r="F79" s="65"/>
      <c r="G79" s="63">
        <f>G80*H80+G81*H81+G82*H82+G83*H83</f>
        <v>0.53</v>
      </c>
      <c r="H79" s="64">
        <v>0.2</v>
      </c>
      <c r="I79" s="65"/>
      <c r="J79" s="63">
        <f>J80*K80+J81*K81+J82*K82+J83*K83</f>
        <v>0.93</v>
      </c>
      <c r="K79" s="64">
        <v>0.15</v>
      </c>
      <c r="L79" s="65"/>
      <c r="M79" s="63">
        <f>M80*N80+M81*N81+M82*N82+M83*N83</f>
        <v>1.47</v>
      </c>
      <c r="N79" s="64">
        <v>0.2</v>
      </c>
      <c r="O79" s="65"/>
      <c r="P79" s="63">
        <f>P80*Q80+P81*Q81+P82*Q82+P83*Q83</f>
        <v>2.42</v>
      </c>
      <c r="Q79" s="64">
        <v>0.2</v>
      </c>
      <c r="R79" s="65"/>
      <c r="S79" s="63">
        <f>S80*T80+S81*T81+S82*T82+S83*T83</f>
        <v>3.28</v>
      </c>
      <c r="T79" s="64">
        <v>0.2</v>
      </c>
    </row>
    <row r="80" hidden="1" outlineLevel="2">
      <c r="A80" s="59" t="s">
        <v>134</v>
      </c>
      <c r="B80" s="47" t="s">
        <v>149</v>
      </c>
      <c r="C80" s="1" t="s">
        <v>150</v>
      </c>
      <c r="D80" s="21">
        <v>0.0</v>
      </c>
      <c r="E80" s="66">
        <v>0.3</v>
      </c>
      <c r="F80" s="65"/>
      <c r="G80" s="21">
        <v>0.4</v>
      </c>
      <c r="H80" s="66">
        <v>0.3</v>
      </c>
      <c r="I80" s="65"/>
      <c r="J80" s="21">
        <v>0.8</v>
      </c>
      <c r="K80" s="66">
        <v>0.3</v>
      </c>
      <c r="L80" s="65"/>
      <c r="M80" s="21">
        <v>1.2</v>
      </c>
      <c r="N80" s="66">
        <v>0.3</v>
      </c>
      <c r="O80" s="65"/>
      <c r="P80" s="21">
        <v>2.6</v>
      </c>
      <c r="Q80" s="66">
        <v>0.3</v>
      </c>
      <c r="R80" s="65"/>
      <c r="S80" s="21">
        <v>3.6</v>
      </c>
      <c r="T80" s="66">
        <v>0.3</v>
      </c>
    </row>
    <row r="81" hidden="1" outlineLevel="2">
      <c r="A81" s="59" t="s">
        <v>134</v>
      </c>
      <c r="B81" s="47" t="s">
        <v>149</v>
      </c>
      <c r="C81" s="1" t="s">
        <v>151</v>
      </c>
      <c r="D81" s="21">
        <v>0.0</v>
      </c>
      <c r="E81" s="66">
        <v>0.4</v>
      </c>
      <c r="F81" s="65"/>
      <c r="G81" s="21">
        <v>0.4</v>
      </c>
      <c r="H81" s="66">
        <v>0.4</v>
      </c>
      <c r="I81" s="65"/>
      <c r="J81" s="21">
        <v>0.8</v>
      </c>
      <c r="K81" s="66">
        <v>0.4</v>
      </c>
      <c r="L81" s="65"/>
      <c r="M81" s="21">
        <v>1.6</v>
      </c>
      <c r="N81" s="66">
        <v>0.4</v>
      </c>
      <c r="O81" s="65"/>
      <c r="P81" s="21">
        <v>2.4</v>
      </c>
      <c r="Q81" s="66">
        <v>0.4</v>
      </c>
      <c r="R81" s="65"/>
      <c r="S81" s="21">
        <v>3.2</v>
      </c>
      <c r="T81" s="66">
        <v>0.4</v>
      </c>
    </row>
    <row r="82" hidden="1" outlineLevel="2">
      <c r="A82" s="59" t="s">
        <v>134</v>
      </c>
      <c r="B82" s="47" t="s">
        <v>149</v>
      </c>
      <c r="C82" s="1" t="s">
        <v>152</v>
      </c>
      <c r="D82" s="21">
        <v>0.5</v>
      </c>
      <c r="E82" s="66">
        <v>0.2</v>
      </c>
      <c r="F82" s="65"/>
      <c r="G82" s="21">
        <v>0.9</v>
      </c>
      <c r="H82" s="66">
        <v>0.2</v>
      </c>
      <c r="I82" s="65"/>
      <c r="J82" s="21">
        <v>1.3</v>
      </c>
      <c r="K82" s="66">
        <v>0.2</v>
      </c>
      <c r="L82" s="65"/>
      <c r="M82" s="21">
        <v>1.7</v>
      </c>
      <c r="N82" s="66">
        <v>0.1</v>
      </c>
      <c r="O82" s="65"/>
      <c r="P82" s="21">
        <v>2.4</v>
      </c>
      <c r="Q82" s="66">
        <v>0.1</v>
      </c>
      <c r="R82" s="65"/>
      <c r="S82" s="21">
        <v>3.2</v>
      </c>
      <c r="T82" s="66">
        <v>0.1</v>
      </c>
    </row>
    <row r="83" hidden="1" outlineLevel="2">
      <c r="A83" s="59" t="s">
        <v>134</v>
      </c>
      <c r="B83" s="47" t="s">
        <v>149</v>
      </c>
      <c r="C83" s="1" t="s">
        <v>153</v>
      </c>
      <c r="D83" s="21">
        <v>0.5</v>
      </c>
      <c r="E83" s="66">
        <v>0.1</v>
      </c>
      <c r="F83" s="65"/>
      <c r="G83" s="21">
        <v>0.7</v>
      </c>
      <c r="H83" s="66">
        <v>0.1</v>
      </c>
      <c r="I83" s="65"/>
      <c r="J83" s="21">
        <v>1.1</v>
      </c>
      <c r="K83" s="66">
        <v>0.1</v>
      </c>
      <c r="L83" s="65"/>
      <c r="M83" s="21">
        <v>1.5</v>
      </c>
      <c r="N83" s="66">
        <v>0.2</v>
      </c>
      <c r="O83" s="65"/>
      <c r="P83" s="21">
        <v>2.2</v>
      </c>
      <c r="Q83" s="66">
        <v>0.2</v>
      </c>
      <c r="R83" s="65"/>
      <c r="S83" s="21">
        <v>3.0</v>
      </c>
      <c r="T83" s="66">
        <v>0.2</v>
      </c>
    </row>
    <row r="84" hidden="1" outlineLevel="1">
      <c r="A84" s="59" t="s">
        <v>134</v>
      </c>
      <c r="B84" s="47" t="s">
        <v>154</v>
      </c>
      <c r="C84" s="47"/>
      <c r="D84" s="63">
        <f>D85*E85+D86*E86+D87*E87</f>
        <v>1.1</v>
      </c>
      <c r="E84" s="64">
        <v>0.1</v>
      </c>
      <c r="F84" s="65"/>
      <c r="G84" s="63">
        <f>G85*H85+G86*H86+G87*H87</f>
        <v>1.38</v>
      </c>
      <c r="H84" s="64">
        <v>0.1</v>
      </c>
      <c r="I84" s="65"/>
      <c r="J84" s="63">
        <f>J85*K85+J86*K86+J87*K87</f>
        <v>1.66</v>
      </c>
      <c r="K84" s="64">
        <v>0.05</v>
      </c>
      <c r="L84" s="65"/>
      <c r="M84" s="63">
        <f>M85*N85+M86*N86+M87*N87</f>
        <v>1.76</v>
      </c>
      <c r="N84" s="64">
        <v>0.1</v>
      </c>
      <c r="O84" s="65"/>
      <c r="P84" s="63">
        <f>P85*Q85+P86*Q86+P87*Q87</f>
        <v>2.38</v>
      </c>
      <c r="Q84" s="64">
        <v>0.1</v>
      </c>
      <c r="R84" s="65"/>
      <c r="S84" s="63">
        <f>S85*T85+S86*T86+S87*T87</f>
        <v>3.3</v>
      </c>
      <c r="T84" s="64">
        <v>0.1</v>
      </c>
    </row>
    <row r="85" hidden="1" outlineLevel="2">
      <c r="A85" s="59" t="s">
        <v>134</v>
      </c>
      <c r="B85" s="47" t="s">
        <v>154</v>
      </c>
      <c r="C85" s="1" t="s">
        <v>155</v>
      </c>
      <c r="D85" s="21">
        <v>1.5</v>
      </c>
      <c r="E85" s="66">
        <v>0.5</v>
      </c>
      <c r="F85" s="65"/>
      <c r="G85" s="21">
        <v>1.8</v>
      </c>
      <c r="H85" s="66">
        <v>0.5</v>
      </c>
      <c r="I85" s="65"/>
      <c r="J85" s="21">
        <v>2.1</v>
      </c>
      <c r="K85" s="66">
        <v>0.5</v>
      </c>
      <c r="L85" s="65"/>
      <c r="M85" s="21">
        <v>2.4</v>
      </c>
      <c r="N85" s="66">
        <v>0.3</v>
      </c>
      <c r="O85" s="65"/>
      <c r="P85" s="21">
        <v>2.8</v>
      </c>
      <c r="Q85" s="66">
        <v>0.3</v>
      </c>
      <c r="R85" s="65"/>
      <c r="S85" s="21">
        <v>4.0</v>
      </c>
      <c r="T85" s="66">
        <v>0.3</v>
      </c>
    </row>
    <row r="86" hidden="1" outlineLevel="2">
      <c r="A86" s="59" t="s">
        <v>134</v>
      </c>
      <c r="B86" s="47" t="s">
        <v>154</v>
      </c>
      <c r="C86" s="1" t="s">
        <v>156</v>
      </c>
      <c r="D86" s="21">
        <v>0.5</v>
      </c>
      <c r="E86" s="66">
        <v>0.3</v>
      </c>
      <c r="F86" s="65"/>
      <c r="G86" s="21">
        <v>0.8</v>
      </c>
      <c r="H86" s="66">
        <v>0.3</v>
      </c>
      <c r="I86" s="65"/>
      <c r="J86" s="21">
        <v>1.1</v>
      </c>
      <c r="K86" s="66">
        <v>0.3</v>
      </c>
      <c r="L86" s="65"/>
      <c r="M86" s="21">
        <v>1.4</v>
      </c>
      <c r="N86" s="66">
        <v>0.4</v>
      </c>
      <c r="O86" s="65"/>
      <c r="P86" s="21">
        <v>2.2</v>
      </c>
      <c r="Q86" s="66">
        <v>0.4</v>
      </c>
      <c r="R86" s="65"/>
      <c r="S86" s="21">
        <v>3.0</v>
      </c>
      <c r="T86" s="66">
        <v>0.4</v>
      </c>
    </row>
    <row r="87" hidden="1" outlineLevel="2">
      <c r="A87" s="59" t="s">
        <v>134</v>
      </c>
      <c r="B87" s="47" t="s">
        <v>154</v>
      </c>
      <c r="C87" s="1" t="s">
        <v>157</v>
      </c>
      <c r="D87" s="21">
        <v>1.0</v>
      </c>
      <c r="E87" s="66">
        <v>0.2</v>
      </c>
      <c r="F87" s="65"/>
      <c r="G87" s="21">
        <v>1.2</v>
      </c>
      <c r="H87" s="66">
        <v>0.2</v>
      </c>
      <c r="I87" s="65"/>
      <c r="J87" s="21">
        <v>1.4</v>
      </c>
      <c r="K87" s="66">
        <v>0.2</v>
      </c>
      <c r="L87" s="65"/>
      <c r="M87" s="21">
        <v>1.6</v>
      </c>
      <c r="N87" s="66">
        <v>0.3</v>
      </c>
      <c r="O87" s="65"/>
      <c r="P87" s="21">
        <v>2.2</v>
      </c>
      <c r="Q87" s="66">
        <v>0.3</v>
      </c>
      <c r="R87" s="65"/>
      <c r="S87" s="21">
        <v>3.0</v>
      </c>
      <c r="T87" s="66">
        <v>0.3</v>
      </c>
    </row>
    <row r="88" hidden="1" outlineLevel="1">
      <c r="A88" s="59" t="s">
        <v>134</v>
      </c>
      <c r="B88" s="7"/>
      <c r="C88" s="7"/>
      <c r="D88" s="7"/>
      <c r="E88" s="67">
        <f>E65+E69+E74+E79+E84</f>
        <v>1</v>
      </c>
      <c r="F88" s="62"/>
      <c r="G88" s="68"/>
      <c r="H88" s="67">
        <f>H65+H69+H74+H79+H84</f>
        <v>1</v>
      </c>
      <c r="I88" s="62"/>
      <c r="J88" s="68"/>
      <c r="K88" s="67">
        <f>K65+K69+K74+K79+K84</f>
        <v>1</v>
      </c>
      <c r="L88" s="62"/>
      <c r="M88" s="68"/>
      <c r="N88" s="67">
        <f>N65+N69+N74+N79+N84</f>
        <v>1</v>
      </c>
      <c r="O88" s="62"/>
      <c r="P88" s="68"/>
      <c r="Q88" s="67">
        <f>Q65+Q69+Q74+Q79+Q84</f>
        <v>1</v>
      </c>
      <c r="R88" s="62"/>
      <c r="S88" s="68"/>
      <c r="T88" s="67">
        <f>T65+T69+T74+T79+T84</f>
        <v>1</v>
      </c>
    </row>
    <row r="89">
      <c r="A89" s="69"/>
      <c r="B89" s="70"/>
      <c r="C89" s="71"/>
      <c r="D89" s="72"/>
      <c r="E89" s="72"/>
      <c r="F89" s="62"/>
      <c r="G89" s="72"/>
      <c r="H89" s="73"/>
      <c r="I89" s="62"/>
      <c r="J89" s="72"/>
      <c r="K89" s="73"/>
      <c r="L89" s="62"/>
      <c r="M89" s="72"/>
      <c r="N89" s="73"/>
      <c r="O89" s="62"/>
      <c r="P89" s="72"/>
      <c r="Q89" s="73"/>
      <c r="R89" s="62"/>
      <c r="S89" s="72"/>
      <c r="T89" s="73"/>
    </row>
    <row r="90">
      <c r="A90" s="74"/>
      <c r="B90" s="2"/>
      <c r="C90" s="75" t="s">
        <v>12</v>
      </c>
      <c r="D90" s="76">
        <f>D64*E64+D41*E41+D3*E3</f>
        <v>1.2156</v>
      </c>
      <c r="E90" s="67">
        <f>E3+E41+E64</f>
        <v>1</v>
      </c>
      <c r="F90" s="62"/>
      <c r="G90" s="76">
        <f>G64*H64+G41*H41+G3*H3</f>
        <v>1.844075</v>
      </c>
      <c r="H90" s="67">
        <f>H3+H41+H64</f>
        <v>1</v>
      </c>
      <c r="I90" s="62"/>
      <c r="J90" s="76">
        <f>J64*K64+J41*K41+J3*K3</f>
        <v>2.32745</v>
      </c>
      <c r="K90" s="67">
        <f>K3+K41+K64</f>
        <v>1</v>
      </c>
      <c r="L90" s="62"/>
      <c r="M90" s="76">
        <f>M64*N64+M41*N41+M3*N3</f>
        <v>2.6386</v>
      </c>
      <c r="N90" s="67">
        <f>N3+N41+N64</f>
        <v>1</v>
      </c>
      <c r="O90" s="62"/>
      <c r="P90" s="76">
        <f>P64*Q64+P41*Q41+P3*Q3</f>
        <v>3.3167</v>
      </c>
      <c r="Q90" s="67">
        <f>Q3+Q41+Q64</f>
        <v>1</v>
      </c>
      <c r="R90" s="62"/>
      <c r="S90" s="76">
        <f>S64*T64+S41*T41+S3*T3</f>
        <v>3.8392</v>
      </c>
      <c r="T90" s="67">
        <f>T3+T41+T64</f>
        <v>1</v>
      </c>
    </row>
  </sheetData>
  <mergeCells count="6">
    <mergeCell ref="D1:E1"/>
    <mergeCell ref="G1:H1"/>
    <mergeCell ref="J1:K1"/>
    <mergeCell ref="M1:N1"/>
    <mergeCell ref="P1:Q1"/>
    <mergeCell ref="S1:T1"/>
  </mergeCells>
  <conditionalFormatting sqref="E40 H40 K40 N40 Q40 T40 E63 H63 K63 N63 Q63 T63 E88 H88 K88 N88 Q88 T88">
    <cfRule type="cellIs" dxfId="0" priority="1" operator="equal">
      <formula>"100%"</formula>
    </cfRule>
  </conditionalFormatting>
  <conditionalFormatting sqref="E90 H90 K90 N90 Q90 T90">
    <cfRule type="cellIs" dxfId="0" priority="2" operator="equal">
      <formula>"100%"</formula>
    </cfRule>
  </conditionalFormatting>
  <conditionalFormatting sqref="E90 H90 K90 N90 Q90 T90">
    <cfRule type="cellIs" dxfId="3" priority="3" operator="notEqual">
      <formula>"100%"</formula>
    </cfRule>
  </conditionalFormatting>
  <conditionalFormatting sqref="E40 H40 K40 N40 Q40 T40 E63 H63 K63 N63 Q63 T63 E88 H88 K88 N88 Q88 T88">
    <cfRule type="cellIs" dxfId="3" priority="4" operator="notEqual">
      <formula>"100%"</formula>
    </cfRule>
  </conditionalFormatting>
  <dataValidations>
    <dataValidation type="list" allowBlank="1" showDropDown="1" showErrorMessage="1" sqref="A3:A88">
      <formula1>"ENGINEERING CRAFT,SOFT SKILLS,LEADERSHIP"</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57.75"/>
    <col customWidth="1" hidden="1" min="2" max="2" width="13.75"/>
    <col customWidth="1" min="3" max="3" width="24.25"/>
    <col customWidth="1" min="4" max="4" width="22.88"/>
    <col customWidth="1" min="5" max="5" width="37.63"/>
    <col customWidth="1" min="6" max="6" width="35.25"/>
    <col customWidth="1" min="7" max="7" width="14.75"/>
    <col customWidth="1" min="8" max="8" width="15.75"/>
    <col customWidth="1" min="9" max="9" width="125.25"/>
  </cols>
  <sheetData>
    <row r="1" ht="22.5" customHeight="1">
      <c r="A1" s="77" t="s">
        <v>158</v>
      </c>
      <c r="B1" s="77" t="s">
        <v>159</v>
      </c>
      <c r="C1" s="77" t="s">
        <v>160</v>
      </c>
      <c r="D1" s="77" t="s">
        <v>7</v>
      </c>
      <c r="E1" s="77" t="s">
        <v>8</v>
      </c>
      <c r="F1" s="77" t="s">
        <v>9</v>
      </c>
      <c r="G1" s="78" t="s">
        <v>161</v>
      </c>
      <c r="H1" s="77" t="s">
        <v>162</v>
      </c>
      <c r="I1" s="79" t="s">
        <v>10</v>
      </c>
      <c r="J1" s="55"/>
      <c r="K1" s="55"/>
      <c r="L1" s="55"/>
      <c r="M1" s="55"/>
      <c r="N1" s="55"/>
      <c r="O1" s="55"/>
      <c r="P1" s="55"/>
      <c r="Q1" s="55"/>
      <c r="R1" s="55"/>
      <c r="S1" s="55"/>
    </row>
    <row r="2" ht="22.5" customHeight="1">
      <c r="A2" s="80" t="str">
        <f>TRIM(C2&amp;D2&amp;E2&amp;F2)</f>
        <v>Junior DeveloperENGINEERING CRAFT</v>
      </c>
      <c r="B2" s="81">
        <v>0.0</v>
      </c>
      <c r="C2" s="82" t="s">
        <v>73</v>
      </c>
      <c r="D2" s="83" t="str">
        <f>weights_editor!A3</f>
        <v>ENGINEERING CRAFT</v>
      </c>
      <c r="E2" s="84" t="str">
        <f>weights_editor!B3</f>
        <v/>
      </c>
      <c r="F2" s="84" t="str">
        <f>weights_editor!C3</f>
        <v/>
      </c>
      <c r="G2" s="84">
        <f>weights_editor!D3</f>
        <v>1.26</v>
      </c>
      <c r="H2" s="85">
        <f>weights_editor!E3</f>
        <v>0.7</v>
      </c>
      <c r="I2" s="86"/>
    </row>
    <row r="3" ht="22.5" customHeight="1">
      <c r="A3" s="80" t="str">
        <f t="shared" ref="A3:A84" si="1">C3&amp;D3&amp;E3&amp;F3</f>
        <v>Junior DeveloperENGINEERING CRAFTWriting Code</v>
      </c>
      <c r="B3" s="81">
        <v>1.0</v>
      </c>
      <c r="C3" s="82" t="s">
        <v>73</v>
      </c>
      <c r="D3" s="87" t="str">
        <f>weights_editor!A4</f>
        <v>ENGINEERING CRAFT</v>
      </c>
      <c r="E3" s="88" t="str">
        <f>weights_editor!B4</f>
        <v>Writing Code</v>
      </c>
      <c r="F3" s="88" t="str">
        <f>weights_editor!C4</f>
        <v/>
      </c>
      <c r="G3" s="88">
        <f>weights_editor!D4</f>
        <v>1.2</v>
      </c>
      <c r="H3" s="89">
        <f>weights_editor!E4</f>
        <v>0.45</v>
      </c>
      <c r="I3" s="90" t="s">
        <v>163</v>
      </c>
    </row>
    <row r="4" ht="22.5" customHeight="1">
      <c r="A4" s="80" t="str">
        <f t="shared" si="1"/>
        <v>Junior DeveloperENGINEERING CRAFTWriting CodeQuality</v>
      </c>
      <c r="B4" s="81">
        <v>2.0</v>
      </c>
      <c r="C4" s="82" t="s">
        <v>73</v>
      </c>
      <c r="D4" s="87" t="str">
        <f>weights_editor!A5</f>
        <v>ENGINEERING CRAFT</v>
      </c>
      <c r="E4" s="88" t="str">
        <f>weights_editor!B5</f>
        <v>Writing Code</v>
      </c>
      <c r="F4" s="88" t="str">
        <f>weights_editor!C5</f>
        <v>Quality</v>
      </c>
      <c r="G4" s="88">
        <f>weights_editor!D5</f>
        <v>1.2</v>
      </c>
      <c r="H4" s="89">
        <f>weights_editor!E5</f>
        <v>0.5</v>
      </c>
      <c r="I4" s="91" t="s">
        <v>164</v>
      </c>
    </row>
    <row r="5" ht="22.5" customHeight="1">
      <c r="A5" s="80" t="str">
        <f t="shared" si="1"/>
        <v>Junior DeveloperENGINEERING CRAFTWriting CodeDocumentation</v>
      </c>
      <c r="B5" s="81">
        <v>3.0</v>
      </c>
      <c r="C5" s="82" t="s">
        <v>73</v>
      </c>
      <c r="D5" s="87" t="str">
        <f>weights_editor!A6</f>
        <v>ENGINEERING CRAFT</v>
      </c>
      <c r="E5" s="88" t="str">
        <f>weights_editor!B6</f>
        <v>Writing Code</v>
      </c>
      <c r="F5" s="88" t="str">
        <f>weights_editor!C6</f>
        <v>Documentation</v>
      </c>
      <c r="G5" s="88">
        <f>weights_editor!D6</f>
        <v>1</v>
      </c>
      <c r="H5" s="89">
        <f>weights_editor!E6</f>
        <v>0.25</v>
      </c>
      <c r="I5" s="91" t="s">
        <v>165</v>
      </c>
    </row>
    <row r="6" ht="22.5" customHeight="1">
      <c r="A6" s="80" t="str">
        <f t="shared" si="1"/>
        <v>Junior DeveloperENGINEERING CRAFTWriting CodeLanguage</v>
      </c>
      <c r="B6" s="81">
        <v>4.0</v>
      </c>
      <c r="C6" s="82" t="s">
        <v>73</v>
      </c>
      <c r="D6" s="87" t="str">
        <f>weights_editor!A7</f>
        <v>ENGINEERING CRAFT</v>
      </c>
      <c r="E6" s="88" t="str">
        <f>weights_editor!B7</f>
        <v>Writing Code</v>
      </c>
      <c r="F6" s="88" t="str">
        <f>weights_editor!C7</f>
        <v>Language</v>
      </c>
      <c r="G6" s="88">
        <f>weights_editor!D7</f>
        <v>1.4</v>
      </c>
      <c r="H6" s="89">
        <f>weights_editor!E7</f>
        <v>0.25</v>
      </c>
      <c r="I6" s="91" t="s">
        <v>166</v>
      </c>
    </row>
    <row r="7" ht="22.5" customHeight="1">
      <c r="A7" s="80" t="str">
        <f t="shared" si="1"/>
        <v>Junior DeveloperENGINEERING CRAFTWriting CodeMentoring</v>
      </c>
      <c r="B7" s="81">
        <v>5.0</v>
      </c>
      <c r="C7" s="82" t="s">
        <v>73</v>
      </c>
      <c r="D7" s="87" t="str">
        <f>weights_editor!A8</f>
        <v>ENGINEERING CRAFT</v>
      </c>
      <c r="E7" s="88" t="str">
        <f>weights_editor!B8</f>
        <v>Writing Code</v>
      </c>
      <c r="F7" s="88" t="str">
        <f>weights_editor!C8</f>
        <v>Mentoring</v>
      </c>
      <c r="G7" s="88">
        <f>weights_editor!D8</f>
        <v>0</v>
      </c>
      <c r="H7" s="89">
        <f>weights_editor!E8</f>
        <v>0</v>
      </c>
      <c r="I7" s="91" t="s">
        <v>167</v>
      </c>
    </row>
    <row r="8" ht="22.5" customHeight="1">
      <c r="A8" s="80" t="str">
        <f t="shared" si="1"/>
        <v>Junior DeveloperENGINEERING CRAFTTesting</v>
      </c>
      <c r="B8" s="81">
        <v>6.0</v>
      </c>
      <c r="C8" s="82" t="s">
        <v>73</v>
      </c>
      <c r="D8" s="87" t="str">
        <f>weights_editor!A9</f>
        <v>ENGINEERING CRAFT</v>
      </c>
      <c r="E8" s="88" t="str">
        <f>weights_editor!B9</f>
        <v>Testing</v>
      </c>
      <c r="F8" s="88" t="str">
        <f>weights_editor!C9</f>
        <v/>
      </c>
      <c r="G8" s="88">
        <f>weights_editor!D9</f>
        <v>1.7</v>
      </c>
      <c r="H8" s="89">
        <f>weights_editor!E9</f>
        <v>0.15</v>
      </c>
      <c r="I8" s="90" t="s">
        <v>168</v>
      </c>
    </row>
    <row r="9" ht="22.5" customHeight="1">
      <c r="A9" s="80" t="str">
        <f t="shared" si="1"/>
        <v>Junior DeveloperENGINEERING CRAFTTestingTesting your code</v>
      </c>
      <c r="B9" s="81">
        <v>7.0</v>
      </c>
      <c r="C9" s="82" t="s">
        <v>73</v>
      </c>
      <c r="D9" s="87" t="str">
        <f>weights_editor!A10</f>
        <v>ENGINEERING CRAFT</v>
      </c>
      <c r="E9" s="88" t="str">
        <f>weights_editor!B10</f>
        <v>Testing</v>
      </c>
      <c r="F9" s="88" t="str">
        <f>weights_editor!C10</f>
        <v>Testing your code</v>
      </c>
      <c r="G9" s="88">
        <f>weights_editor!D10</f>
        <v>2</v>
      </c>
      <c r="H9" s="89">
        <f>weights_editor!E10</f>
        <v>0.7</v>
      </c>
      <c r="I9" s="91" t="s">
        <v>169</v>
      </c>
    </row>
    <row r="10" ht="22.5" customHeight="1">
      <c r="A10" s="80" t="str">
        <f t="shared" si="1"/>
        <v>Junior DeveloperENGINEERING CRAFTTestingImproving coverage</v>
      </c>
      <c r="B10" s="81">
        <v>8.0</v>
      </c>
      <c r="C10" s="82" t="s">
        <v>73</v>
      </c>
      <c r="D10" s="87" t="str">
        <f>weights_editor!A11</f>
        <v>ENGINEERING CRAFT</v>
      </c>
      <c r="E10" s="88" t="str">
        <f>weights_editor!B11</f>
        <v>Testing</v>
      </c>
      <c r="F10" s="88" t="str">
        <f>weights_editor!C11</f>
        <v>Improving coverage</v>
      </c>
      <c r="G10" s="88">
        <f>weights_editor!D11</f>
        <v>1</v>
      </c>
      <c r="H10" s="89">
        <f>weights_editor!E11</f>
        <v>0.2</v>
      </c>
      <c r="I10" s="91" t="s">
        <v>170</v>
      </c>
    </row>
    <row r="11" ht="22.5" customHeight="1">
      <c r="A11" s="80" t="str">
        <f t="shared" si="1"/>
        <v>Junior DeveloperENGINEERING CRAFTTestingTaking responsibility</v>
      </c>
      <c r="B11" s="81">
        <v>9.0</v>
      </c>
      <c r="C11" s="82" t="s">
        <v>73</v>
      </c>
      <c r="D11" s="87" t="str">
        <f>weights_editor!A12</f>
        <v>ENGINEERING CRAFT</v>
      </c>
      <c r="E11" s="88" t="str">
        <f>weights_editor!B12</f>
        <v>Testing</v>
      </c>
      <c r="F11" s="88" t="str">
        <f>weights_editor!C12</f>
        <v>Taking responsibility</v>
      </c>
      <c r="G11" s="88">
        <f>weights_editor!D12</f>
        <v>1</v>
      </c>
      <c r="H11" s="89">
        <f>weights_editor!E12</f>
        <v>0.1</v>
      </c>
      <c r="I11" s="91" t="s">
        <v>171</v>
      </c>
    </row>
    <row r="12" ht="22.5" customHeight="1">
      <c r="A12" s="80" t="str">
        <f t="shared" si="1"/>
        <v>Junior DeveloperENGINEERING CRAFTTestingLeading testing strategy</v>
      </c>
      <c r="B12" s="81">
        <v>10.0</v>
      </c>
      <c r="C12" s="82" t="s">
        <v>73</v>
      </c>
      <c r="D12" s="87" t="str">
        <f>weights_editor!A13</f>
        <v>ENGINEERING CRAFT</v>
      </c>
      <c r="E12" s="88" t="str">
        <f>weights_editor!B13</f>
        <v>Testing</v>
      </c>
      <c r="F12" s="88" t="str">
        <f>weights_editor!C13</f>
        <v>Leading testing strategy</v>
      </c>
      <c r="G12" s="88">
        <f>weights_editor!D13</f>
        <v>0</v>
      </c>
      <c r="H12" s="89">
        <f>weights_editor!E13</f>
        <v>0</v>
      </c>
      <c r="I12" s="91" t="s">
        <v>167</v>
      </c>
    </row>
    <row r="13" ht="22.5" customHeight="1">
      <c r="A13" s="80" t="str">
        <f t="shared" si="1"/>
        <v>Junior DeveloperENGINEERING CRAFTTestingAdvocating for testing</v>
      </c>
      <c r="B13" s="81">
        <v>11.0</v>
      </c>
      <c r="C13" s="82" t="s">
        <v>73</v>
      </c>
      <c r="D13" s="87" t="str">
        <f>weights_editor!A14</f>
        <v>ENGINEERING CRAFT</v>
      </c>
      <c r="E13" s="88" t="str">
        <f>weights_editor!B14</f>
        <v>Testing</v>
      </c>
      <c r="F13" s="88" t="str">
        <f>weights_editor!C14</f>
        <v>Advocating for testing</v>
      </c>
      <c r="G13" s="88">
        <f>weights_editor!D14</f>
        <v>0</v>
      </c>
      <c r="H13" s="89">
        <f>weights_editor!E14</f>
        <v>0</v>
      </c>
      <c r="I13" s="91" t="s">
        <v>167</v>
      </c>
    </row>
    <row r="14" ht="22.5" customHeight="1">
      <c r="A14" s="80" t="str">
        <f t="shared" si="1"/>
        <v>Junior DeveloperENGINEERING CRAFTTechnical Understanding &amp; Prioritisation</v>
      </c>
      <c r="B14" s="81">
        <v>12.0</v>
      </c>
      <c r="C14" s="82" t="s">
        <v>73</v>
      </c>
      <c r="D14" s="87" t="str">
        <f>weights_editor!A15</f>
        <v>ENGINEERING CRAFT</v>
      </c>
      <c r="E14" s="88" t="str">
        <f>weights_editor!B15</f>
        <v>Technical Understanding &amp; Prioritisation</v>
      </c>
      <c r="F14" s="88" t="str">
        <f>weights_editor!C15</f>
        <v/>
      </c>
      <c r="G14" s="88">
        <f>weights_editor!D15</f>
        <v>1.29</v>
      </c>
      <c r="H14" s="89">
        <f>weights_editor!E15</f>
        <v>0.15</v>
      </c>
      <c r="I14" s="90" t="s">
        <v>172</v>
      </c>
    </row>
    <row r="15" ht="22.5" customHeight="1">
      <c r="A15" s="80" t="str">
        <f t="shared" si="1"/>
        <v>Junior DeveloperENGINEERING CRAFTTechnical Understanding &amp; PrioritisationUnderstanding code</v>
      </c>
      <c r="B15" s="81">
        <v>13.0</v>
      </c>
      <c r="C15" s="82" t="s">
        <v>73</v>
      </c>
      <c r="D15" s="87" t="str">
        <f>weights_editor!A16</f>
        <v>ENGINEERING CRAFT</v>
      </c>
      <c r="E15" s="88" t="str">
        <f>weights_editor!B16</f>
        <v>Technical Understanding &amp; Prioritisation</v>
      </c>
      <c r="F15" s="88" t="str">
        <f>weights_editor!C16</f>
        <v>Understanding code</v>
      </c>
      <c r="G15" s="88">
        <f>weights_editor!D16</f>
        <v>1.4</v>
      </c>
      <c r="H15" s="89">
        <f>weights_editor!E16</f>
        <v>0.6</v>
      </c>
      <c r="I15" s="91" t="s">
        <v>173</v>
      </c>
    </row>
    <row r="16" ht="22.5" customHeight="1">
      <c r="A16" s="80" t="str">
        <f t="shared" si="1"/>
        <v>Junior DeveloperENGINEERING CRAFTTechnical Understanding &amp; PrioritisationTechnical collaboration</v>
      </c>
      <c r="B16" s="81">
        <v>14.0</v>
      </c>
      <c r="C16" s="82" t="s">
        <v>73</v>
      </c>
      <c r="D16" s="87" t="str">
        <f>weights_editor!A17</f>
        <v>ENGINEERING CRAFT</v>
      </c>
      <c r="E16" s="88" t="str">
        <f>weights_editor!B17</f>
        <v>Technical Understanding &amp; Prioritisation</v>
      </c>
      <c r="F16" s="88" t="str">
        <f>weights_editor!C17</f>
        <v>Technical collaboration</v>
      </c>
      <c r="G16" s="88">
        <f>weights_editor!D17</f>
        <v>1.2</v>
      </c>
      <c r="H16" s="89">
        <f>weights_editor!E17</f>
        <v>0.25</v>
      </c>
      <c r="I16" s="91" t="s">
        <v>174</v>
      </c>
    </row>
    <row r="17" ht="22.5" customHeight="1">
      <c r="A17" s="80" t="str">
        <f t="shared" si="1"/>
        <v>Junior DeveloperENGINEERING CRAFTTechnical Understanding &amp; PrioritisationWork breakdown</v>
      </c>
      <c r="B17" s="81">
        <v>15.0</v>
      </c>
      <c r="C17" s="82" t="s">
        <v>73</v>
      </c>
      <c r="D17" s="87" t="str">
        <f>weights_editor!A18</f>
        <v>ENGINEERING CRAFT</v>
      </c>
      <c r="E17" s="88" t="str">
        <f>weights_editor!B18</f>
        <v>Technical Understanding &amp; Prioritisation</v>
      </c>
      <c r="F17" s="88" t="str">
        <f>weights_editor!C18</f>
        <v>Work breakdown</v>
      </c>
      <c r="G17" s="88">
        <f>weights_editor!D18</f>
        <v>1</v>
      </c>
      <c r="H17" s="89">
        <f>weights_editor!E18</f>
        <v>0.1</v>
      </c>
      <c r="I17" s="91" t="s">
        <v>175</v>
      </c>
    </row>
    <row r="18" ht="22.5" customHeight="1">
      <c r="A18" s="80" t="str">
        <f t="shared" si="1"/>
        <v>Junior DeveloperENGINEERING CRAFTTechnical Understanding &amp; PrioritisationTask prioritisation</v>
      </c>
      <c r="B18" s="81">
        <v>16.0</v>
      </c>
      <c r="C18" s="82" t="s">
        <v>73</v>
      </c>
      <c r="D18" s="87" t="str">
        <f>weights_editor!A19</f>
        <v>ENGINEERING CRAFT</v>
      </c>
      <c r="E18" s="88" t="str">
        <f>weights_editor!B19</f>
        <v>Technical Understanding &amp; Prioritisation</v>
      </c>
      <c r="F18" s="88" t="str">
        <f>weights_editor!C19</f>
        <v>Task prioritisation</v>
      </c>
      <c r="G18" s="88">
        <f>weights_editor!D19</f>
        <v>1</v>
      </c>
      <c r="H18" s="89">
        <f>weights_editor!E19</f>
        <v>0.05</v>
      </c>
      <c r="I18" s="91" t="s">
        <v>176</v>
      </c>
    </row>
    <row r="19" ht="22.5" customHeight="1">
      <c r="A19" s="80" t="str">
        <f t="shared" si="1"/>
        <v>Junior DeveloperENGINEERING CRAFTSoftware Architecture</v>
      </c>
      <c r="B19" s="81">
        <v>17.0</v>
      </c>
      <c r="C19" s="82" t="s">
        <v>73</v>
      </c>
      <c r="D19" s="87" t="str">
        <f>weights_editor!A20</f>
        <v>ENGINEERING CRAFT</v>
      </c>
      <c r="E19" s="88" t="str">
        <f>weights_editor!B20</f>
        <v>Software Architecture</v>
      </c>
      <c r="F19" s="88" t="str">
        <f>weights_editor!C20</f>
        <v/>
      </c>
      <c r="G19" s="88">
        <f>weights_editor!D20</f>
        <v>0.9</v>
      </c>
      <c r="H19" s="89">
        <f>weights_editor!E20</f>
        <v>0.1</v>
      </c>
      <c r="I19" s="90" t="s">
        <v>177</v>
      </c>
    </row>
    <row r="20" ht="22.5" customHeight="1">
      <c r="A20" s="80" t="str">
        <f t="shared" si="1"/>
        <v>Junior DeveloperENGINEERING CRAFTSoftware ArchitectureReaction to feedback</v>
      </c>
      <c r="B20" s="81">
        <v>18.0</v>
      </c>
      <c r="C20" s="82" t="s">
        <v>73</v>
      </c>
      <c r="D20" s="87" t="str">
        <f>weights_editor!A21</f>
        <v>ENGINEERING CRAFT</v>
      </c>
      <c r="E20" s="88" t="str">
        <f>weights_editor!B21</f>
        <v>Software Architecture</v>
      </c>
      <c r="F20" s="88" t="str">
        <f>weights_editor!C21</f>
        <v>Reaction to feedback</v>
      </c>
      <c r="G20" s="88">
        <f>weights_editor!D21</f>
        <v>2</v>
      </c>
      <c r="H20" s="89">
        <f>weights_editor!E21</f>
        <v>0.3</v>
      </c>
      <c r="I20" s="91" t="s">
        <v>178</v>
      </c>
    </row>
    <row r="21" ht="22.5" customHeight="1">
      <c r="A21" s="80" t="str">
        <f t="shared" si="1"/>
        <v>Junior DeveloperENGINEERING CRAFTSoftware ArchitectureCode</v>
      </c>
      <c r="B21" s="81">
        <v>19.0</v>
      </c>
      <c r="C21" s="82" t="s">
        <v>73</v>
      </c>
      <c r="D21" s="87" t="str">
        <f>weights_editor!A22</f>
        <v>ENGINEERING CRAFT</v>
      </c>
      <c r="E21" s="88" t="str">
        <f>weights_editor!B22</f>
        <v>Software Architecture</v>
      </c>
      <c r="F21" s="88" t="str">
        <f>weights_editor!C22</f>
        <v>Code</v>
      </c>
      <c r="G21" s="88">
        <f>weights_editor!D22</f>
        <v>1</v>
      </c>
      <c r="H21" s="89">
        <f>weights_editor!E22</f>
        <v>0.3</v>
      </c>
      <c r="I21" s="91" t="s">
        <v>167</v>
      </c>
    </row>
    <row r="22" ht="22.5" customHeight="1">
      <c r="A22" s="80" t="str">
        <f t="shared" si="1"/>
        <v>Junior DeveloperENGINEERING CRAFTSoftware ArchitectureDesign</v>
      </c>
      <c r="B22" s="81">
        <v>20.0</v>
      </c>
      <c r="C22" s="82" t="s">
        <v>73</v>
      </c>
      <c r="D22" s="87" t="str">
        <f>weights_editor!A23</f>
        <v>ENGINEERING CRAFT</v>
      </c>
      <c r="E22" s="88" t="str">
        <f>weights_editor!B23</f>
        <v>Software Architecture</v>
      </c>
      <c r="F22" s="88" t="str">
        <f>weights_editor!C23</f>
        <v>Design</v>
      </c>
      <c r="G22" s="88">
        <f>weights_editor!D23</f>
        <v>0</v>
      </c>
      <c r="H22" s="89">
        <f>weights_editor!E23</f>
        <v>0.2</v>
      </c>
      <c r="I22" s="91" t="s">
        <v>179</v>
      </c>
    </row>
    <row r="23" ht="22.5" customHeight="1">
      <c r="A23" s="80" t="str">
        <f t="shared" si="1"/>
        <v>Junior DeveloperENGINEERING CRAFTSoftware ArchitectureDevelopment</v>
      </c>
      <c r="B23" s="81">
        <v>21.0</v>
      </c>
      <c r="C23" s="82" t="s">
        <v>73</v>
      </c>
      <c r="D23" s="87" t="str">
        <f>weights_editor!A24</f>
        <v>ENGINEERING CRAFT</v>
      </c>
      <c r="E23" s="88" t="str">
        <f>weights_editor!B24</f>
        <v>Software Architecture</v>
      </c>
      <c r="F23" s="88" t="str">
        <f>weights_editor!C24</f>
        <v>Development</v>
      </c>
      <c r="G23" s="88">
        <f>weights_editor!D24</f>
        <v>0</v>
      </c>
      <c r="H23" s="89">
        <f>weights_editor!E24</f>
        <v>0.2</v>
      </c>
      <c r="I23" s="91" t="s">
        <v>167</v>
      </c>
    </row>
    <row r="24" ht="22.5" customHeight="1">
      <c r="A24" s="80" t="str">
        <f t="shared" si="1"/>
        <v>Junior DeveloperENGINEERING CRAFTSoftware ArchitectureTechnical debt</v>
      </c>
      <c r="B24" s="81">
        <v>22.0</v>
      </c>
      <c r="C24" s="82" t="s">
        <v>73</v>
      </c>
      <c r="D24" s="87" t="str">
        <f>weights_editor!A25</f>
        <v>ENGINEERING CRAFT</v>
      </c>
      <c r="E24" s="88" t="str">
        <f>weights_editor!B25</f>
        <v>Software Architecture</v>
      </c>
      <c r="F24" s="88" t="str">
        <f>weights_editor!C25</f>
        <v>Technical debt</v>
      </c>
      <c r="G24" s="88">
        <f>weights_editor!D25</f>
        <v>0.5</v>
      </c>
      <c r="H24" s="89">
        <f>weights_editor!E25</f>
        <v>0</v>
      </c>
      <c r="I24" s="91" t="s">
        <v>180</v>
      </c>
    </row>
    <row r="25" ht="22.5" customHeight="1">
      <c r="A25" s="80" t="str">
        <f t="shared" si="1"/>
        <v>Junior DeveloperENGINEERING CRAFTSecurity</v>
      </c>
      <c r="B25" s="81">
        <v>23.0</v>
      </c>
      <c r="C25" s="82" t="s">
        <v>73</v>
      </c>
      <c r="D25" s="87" t="str">
        <f>weights_editor!A26</f>
        <v>ENGINEERING CRAFT</v>
      </c>
      <c r="E25" s="88" t="str">
        <f>weights_editor!B26</f>
        <v>Security</v>
      </c>
      <c r="F25" s="88" t="str">
        <f>weights_editor!C26</f>
        <v/>
      </c>
      <c r="G25" s="88">
        <f>weights_editor!D26</f>
        <v>1.28</v>
      </c>
      <c r="H25" s="89">
        <f>weights_editor!E26</f>
        <v>0.1</v>
      </c>
      <c r="I25" s="90" t="s">
        <v>181</v>
      </c>
    </row>
    <row r="26" ht="22.5" customHeight="1">
      <c r="A26" s="80" t="str">
        <f t="shared" si="1"/>
        <v>Junior DeveloperENGINEERING CRAFTSecurityKnowledge</v>
      </c>
      <c r="B26" s="81">
        <v>24.0</v>
      </c>
      <c r="C26" s="82" t="s">
        <v>73</v>
      </c>
      <c r="D26" s="87" t="str">
        <f>weights_editor!A27</f>
        <v>ENGINEERING CRAFT</v>
      </c>
      <c r="E26" s="88" t="str">
        <f>weights_editor!B27</f>
        <v>Security</v>
      </c>
      <c r="F26" s="88" t="str">
        <f>weights_editor!C27</f>
        <v>Knowledge</v>
      </c>
      <c r="G26" s="88">
        <f>weights_editor!D27</f>
        <v>1.2</v>
      </c>
      <c r="H26" s="89">
        <f>weights_editor!E27</f>
        <v>0.4</v>
      </c>
      <c r="I26" s="91" t="s">
        <v>182</v>
      </c>
    </row>
    <row r="27" ht="22.5" customHeight="1">
      <c r="A27" s="80" t="str">
        <f t="shared" si="1"/>
        <v>Junior DeveloperENGINEERING CRAFTSecurityUser data</v>
      </c>
      <c r="B27" s="81">
        <v>25.0</v>
      </c>
      <c r="C27" s="82" t="s">
        <v>73</v>
      </c>
      <c r="D27" s="87" t="str">
        <f>weights_editor!A28</f>
        <v>ENGINEERING CRAFT</v>
      </c>
      <c r="E27" s="88" t="str">
        <f>weights_editor!B28</f>
        <v>Security</v>
      </c>
      <c r="F27" s="88" t="str">
        <f>weights_editor!C28</f>
        <v>User data</v>
      </c>
      <c r="G27" s="88">
        <f>weights_editor!D28</f>
        <v>1.5</v>
      </c>
      <c r="H27" s="89">
        <f>weights_editor!E28</f>
        <v>0.4</v>
      </c>
      <c r="I27" s="91" t="s">
        <v>183</v>
      </c>
    </row>
    <row r="28" ht="22.5" customHeight="1">
      <c r="A28" s="80" t="str">
        <f t="shared" si="1"/>
        <v>Junior DeveloperENGINEERING CRAFTSecurityReporting</v>
      </c>
      <c r="B28" s="81">
        <v>26.0</v>
      </c>
      <c r="C28" s="82" t="s">
        <v>73</v>
      </c>
      <c r="D28" s="87" t="str">
        <f>weights_editor!A29</f>
        <v>ENGINEERING CRAFT</v>
      </c>
      <c r="E28" s="88" t="str">
        <f>weights_editor!B29</f>
        <v>Security</v>
      </c>
      <c r="F28" s="88" t="str">
        <f>weights_editor!C29</f>
        <v>Reporting</v>
      </c>
      <c r="G28" s="88">
        <f>weights_editor!D29</f>
        <v>1</v>
      </c>
      <c r="H28" s="89">
        <f>weights_editor!E29</f>
        <v>0.2</v>
      </c>
      <c r="I28" s="91" t="s">
        <v>184</v>
      </c>
    </row>
    <row r="29" ht="22.5" customHeight="1">
      <c r="A29" s="80" t="str">
        <f t="shared" si="1"/>
        <v>Junior DeveloperENGINEERING CRAFTSecurityProactivity</v>
      </c>
      <c r="B29" s="81">
        <v>27.0</v>
      </c>
      <c r="C29" s="82" t="s">
        <v>73</v>
      </c>
      <c r="D29" s="87" t="str">
        <f>weights_editor!A30</f>
        <v>ENGINEERING CRAFT</v>
      </c>
      <c r="E29" s="88" t="str">
        <f>weights_editor!B30</f>
        <v>Security</v>
      </c>
      <c r="F29" s="88" t="str">
        <f>weights_editor!C30</f>
        <v>Proactivity</v>
      </c>
      <c r="G29" s="88">
        <f>weights_editor!D30</f>
        <v>0.5</v>
      </c>
      <c r="H29" s="89">
        <f>weights_editor!E30</f>
        <v>0</v>
      </c>
      <c r="I29" s="91" t="s">
        <v>167</v>
      </c>
    </row>
    <row r="30" ht="22.5" customHeight="1">
      <c r="A30" s="80" t="str">
        <f t="shared" si="1"/>
        <v>Junior DeveloperENGINEERING CRAFTSecurityCollaboration</v>
      </c>
      <c r="B30" s="81">
        <v>28.0</v>
      </c>
      <c r="C30" s="82" t="s">
        <v>73</v>
      </c>
      <c r="D30" s="87" t="str">
        <f>weights_editor!A31</f>
        <v>ENGINEERING CRAFT</v>
      </c>
      <c r="E30" s="88" t="str">
        <f>weights_editor!B31</f>
        <v>Security</v>
      </c>
      <c r="F30" s="88" t="str">
        <f>weights_editor!C31</f>
        <v>Collaboration</v>
      </c>
      <c r="G30" s="88">
        <f>weights_editor!D31</f>
        <v>0.8</v>
      </c>
      <c r="H30" s="89">
        <f>weights_editor!E31</f>
        <v>0</v>
      </c>
      <c r="I30" s="91" t="s">
        <v>167</v>
      </c>
    </row>
    <row r="31" ht="22.5" customHeight="1">
      <c r="A31" s="80" t="str">
        <f t="shared" si="1"/>
        <v>Junior DeveloperENGINEERING CRAFTSecurityStrategy</v>
      </c>
      <c r="B31" s="81">
        <v>29.0</v>
      </c>
      <c r="C31" s="82" t="s">
        <v>73</v>
      </c>
      <c r="D31" s="87" t="str">
        <f>weights_editor!A32</f>
        <v>ENGINEERING CRAFT</v>
      </c>
      <c r="E31" s="88" t="str">
        <f>weights_editor!B32</f>
        <v>Security</v>
      </c>
      <c r="F31" s="88" t="str">
        <f>weights_editor!C32</f>
        <v>Strategy</v>
      </c>
      <c r="G31" s="88">
        <f>weights_editor!D32</f>
        <v>0</v>
      </c>
      <c r="H31" s="89">
        <f>weights_editor!E32</f>
        <v>0</v>
      </c>
      <c r="I31" s="91" t="s">
        <v>167</v>
      </c>
    </row>
    <row r="32" ht="22.5" customHeight="1">
      <c r="A32" s="80" t="str">
        <f t="shared" si="1"/>
        <v>Junior DeveloperENGINEERING CRAFTDebugging &amp; Monitoring</v>
      </c>
      <c r="B32" s="81">
        <v>30.0</v>
      </c>
      <c r="C32" s="82" t="s">
        <v>73</v>
      </c>
      <c r="D32" s="87" t="str">
        <f>weights_editor!A33</f>
        <v>ENGINEERING CRAFT</v>
      </c>
      <c r="E32" s="88" t="str">
        <f>weights_editor!B33</f>
        <v>Debugging &amp; Monitoring</v>
      </c>
      <c r="F32" s="88" t="str">
        <f>weights_editor!C33</f>
        <v/>
      </c>
      <c r="G32" s="88">
        <f>weights_editor!D33</f>
        <v>1.07</v>
      </c>
      <c r="H32" s="89">
        <f>weights_editor!E33</f>
        <v>0.05</v>
      </c>
      <c r="I32" s="90" t="s">
        <v>185</v>
      </c>
    </row>
    <row r="33" ht="22.5" customHeight="1">
      <c r="A33" s="80" t="str">
        <f t="shared" si="1"/>
        <v>Junior DeveloperENGINEERING CRAFTDebugging &amp; MonitoringDebugging</v>
      </c>
      <c r="B33" s="81">
        <v>31.0</v>
      </c>
      <c r="C33" s="82" t="s">
        <v>73</v>
      </c>
      <c r="D33" s="87" t="str">
        <f>weights_editor!A34</f>
        <v>ENGINEERING CRAFT</v>
      </c>
      <c r="E33" s="88" t="str">
        <f>weights_editor!B34</f>
        <v>Debugging &amp; Monitoring</v>
      </c>
      <c r="F33" s="88" t="str">
        <f>weights_editor!C34</f>
        <v>Debugging</v>
      </c>
      <c r="G33" s="88">
        <f>weights_editor!D34</f>
        <v>1.2</v>
      </c>
      <c r="H33" s="89">
        <f>weights_editor!E34</f>
        <v>0.6</v>
      </c>
      <c r="I33" s="91" t="s">
        <v>186</v>
      </c>
    </row>
    <row r="34" ht="22.5" customHeight="1">
      <c r="A34" s="80" t="str">
        <f t="shared" si="1"/>
        <v>Junior DeveloperENGINEERING CRAFTDebugging &amp; MonitoringTools</v>
      </c>
      <c r="B34" s="81">
        <v>32.0</v>
      </c>
      <c r="C34" s="82" t="s">
        <v>73</v>
      </c>
      <c r="D34" s="87" t="str">
        <f>weights_editor!A35</f>
        <v>ENGINEERING CRAFT</v>
      </c>
      <c r="E34" s="88" t="str">
        <f>weights_editor!B35</f>
        <v>Debugging &amp; Monitoring</v>
      </c>
      <c r="F34" s="88" t="str">
        <f>weights_editor!C35</f>
        <v>Tools</v>
      </c>
      <c r="G34" s="88">
        <f>weights_editor!D35</f>
        <v>1</v>
      </c>
      <c r="H34" s="89">
        <f>weights_editor!E35</f>
        <v>0.3</v>
      </c>
      <c r="I34" s="91" t="s">
        <v>187</v>
      </c>
    </row>
    <row r="35" ht="22.5" customHeight="1">
      <c r="A35" s="80" t="str">
        <f t="shared" si="1"/>
        <v>Junior DeveloperENGINEERING CRAFTDebugging &amp; MonitoringPhilosophy</v>
      </c>
      <c r="B35" s="81">
        <v>33.0</v>
      </c>
      <c r="C35" s="82" t="s">
        <v>73</v>
      </c>
      <c r="D35" s="87" t="str">
        <f>weights_editor!A36</f>
        <v>ENGINEERING CRAFT</v>
      </c>
      <c r="E35" s="88" t="str">
        <f>weights_editor!B36</f>
        <v>Debugging &amp; Monitoring</v>
      </c>
      <c r="F35" s="88" t="str">
        <f>weights_editor!C36</f>
        <v>Philosophy</v>
      </c>
      <c r="G35" s="88">
        <f>weights_editor!D36</f>
        <v>0.5</v>
      </c>
      <c r="H35" s="89">
        <f>weights_editor!E36</f>
        <v>0.1</v>
      </c>
      <c r="I35" s="91" t="s">
        <v>188</v>
      </c>
    </row>
    <row r="36" ht="22.5" customHeight="1">
      <c r="A36" s="80" t="str">
        <f t="shared" si="1"/>
        <v>Junior DeveloperENGINEERING CRAFTDebugging &amp; MonitoringData</v>
      </c>
      <c r="B36" s="81">
        <v>34.0</v>
      </c>
      <c r="C36" s="82" t="s">
        <v>73</v>
      </c>
      <c r="D36" s="87" t="str">
        <f>weights_editor!A37</f>
        <v>ENGINEERING CRAFT</v>
      </c>
      <c r="E36" s="88" t="str">
        <f>weights_editor!B37</f>
        <v>Debugging &amp; Monitoring</v>
      </c>
      <c r="F36" s="88" t="str">
        <f>weights_editor!C37</f>
        <v>Data</v>
      </c>
      <c r="G36" s="88">
        <f>weights_editor!D37</f>
        <v>0.8</v>
      </c>
      <c r="H36" s="89">
        <f>weights_editor!E37</f>
        <v>0</v>
      </c>
      <c r="I36" s="91" t="s">
        <v>167</v>
      </c>
    </row>
    <row r="37" ht="22.5" customHeight="1">
      <c r="A37" s="80" t="str">
        <f t="shared" si="1"/>
        <v>Junior DeveloperENGINEERING CRAFTDebugging &amp; MonitoringProfiling</v>
      </c>
      <c r="B37" s="81">
        <v>35.0</v>
      </c>
      <c r="C37" s="82" t="s">
        <v>73</v>
      </c>
      <c r="D37" s="87" t="str">
        <f>weights_editor!A38</f>
        <v>ENGINEERING CRAFT</v>
      </c>
      <c r="E37" s="88" t="str">
        <f>weights_editor!B38</f>
        <v>Debugging &amp; Monitoring</v>
      </c>
      <c r="F37" s="88" t="str">
        <f>weights_editor!C38</f>
        <v>Profiling</v>
      </c>
      <c r="G37" s="88">
        <f>weights_editor!D38</f>
        <v>0.5</v>
      </c>
      <c r="H37" s="89">
        <f>weights_editor!E38</f>
        <v>0</v>
      </c>
      <c r="I37" s="91" t="s">
        <v>167</v>
      </c>
    </row>
    <row r="38" ht="22.5" customHeight="1">
      <c r="A38" s="80" t="str">
        <f t="shared" si="1"/>
        <v>Junior DeveloperENGINEERING CRAFTDebugging &amp; MonitoringMentoring</v>
      </c>
      <c r="B38" s="81">
        <v>36.0</v>
      </c>
      <c r="C38" s="82" t="s">
        <v>73</v>
      </c>
      <c r="D38" s="87" t="str">
        <f>weights_editor!A39</f>
        <v>ENGINEERING CRAFT</v>
      </c>
      <c r="E38" s="88" t="str">
        <f>weights_editor!B39</f>
        <v>Debugging &amp; Monitoring</v>
      </c>
      <c r="F38" s="88" t="str">
        <f>weights_editor!C39</f>
        <v>Mentoring</v>
      </c>
      <c r="G38" s="88">
        <f>weights_editor!D39</f>
        <v>0</v>
      </c>
      <c r="H38" s="89">
        <f>weights_editor!E39</f>
        <v>0</v>
      </c>
      <c r="I38" s="91" t="s">
        <v>167</v>
      </c>
    </row>
    <row r="39" ht="22.5" customHeight="1">
      <c r="A39" s="80" t="str">
        <f t="shared" si="1"/>
        <v>Junior DeveloperSOFT SKILLS</v>
      </c>
      <c r="B39" s="81">
        <v>37.0</v>
      </c>
      <c r="C39" s="82" t="s">
        <v>73</v>
      </c>
      <c r="D39" s="83" t="str">
        <f>weights_editor!A41</f>
        <v>SOFT SKILLS</v>
      </c>
      <c r="E39" s="84" t="str">
        <f>weights_editor!B41</f>
        <v/>
      </c>
      <c r="F39" s="84" t="str">
        <f>weights_editor!C41</f>
        <v/>
      </c>
      <c r="G39" s="84">
        <f>weights_editor!D41</f>
        <v>1.2286</v>
      </c>
      <c r="H39" s="85">
        <f>weights_editor!E41</f>
        <v>0.25</v>
      </c>
      <c r="I39" s="86"/>
    </row>
    <row r="40" ht="22.5" customHeight="1">
      <c r="A40" s="80" t="str">
        <f t="shared" si="1"/>
        <v>Junior DeveloperSOFT SKILLSEmpathy &amp; Humility</v>
      </c>
      <c r="B40" s="81">
        <v>38.0</v>
      </c>
      <c r="C40" s="82" t="s">
        <v>73</v>
      </c>
      <c r="D40" s="87" t="str">
        <f>weights_editor!A42</f>
        <v>SOFT SKILLS</v>
      </c>
      <c r="E40" s="88" t="str">
        <f>weights_editor!B42</f>
        <v>Empathy &amp; Humility</v>
      </c>
      <c r="F40" s="88" t="str">
        <f>weights_editor!C42</f>
        <v/>
      </c>
      <c r="G40" s="88">
        <f>weights_editor!D42</f>
        <v>0.85</v>
      </c>
      <c r="H40" s="89">
        <f>weights_editor!E42</f>
        <v>0.4</v>
      </c>
      <c r="I40" s="90" t="s">
        <v>189</v>
      </c>
    </row>
    <row r="41" ht="22.5" customHeight="1">
      <c r="A41" s="80" t="str">
        <f t="shared" si="1"/>
        <v>Junior DeveloperSOFT SKILLSEmpathy &amp; HumilityCredit and blame</v>
      </c>
      <c r="B41" s="81">
        <v>39.0</v>
      </c>
      <c r="C41" s="82" t="s">
        <v>73</v>
      </c>
      <c r="D41" s="87" t="str">
        <f>weights_editor!A43</f>
        <v>SOFT SKILLS</v>
      </c>
      <c r="E41" s="88" t="str">
        <f>weights_editor!B43</f>
        <v>Empathy &amp; Humility</v>
      </c>
      <c r="F41" s="88" t="str">
        <f>weights_editor!C43</f>
        <v>Credit and blame</v>
      </c>
      <c r="G41" s="88">
        <f>weights_editor!D43</f>
        <v>1</v>
      </c>
      <c r="H41" s="89">
        <f>weights_editor!E43</f>
        <v>0.3</v>
      </c>
      <c r="I41" s="91" t="s">
        <v>190</v>
      </c>
    </row>
    <row r="42" ht="22.5" customHeight="1">
      <c r="A42" s="80" t="str">
        <f t="shared" si="1"/>
        <v>Junior DeveloperSOFT SKILLSEmpathy &amp; HumilityUnderstanding others</v>
      </c>
      <c r="B42" s="81">
        <v>40.0</v>
      </c>
      <c r="C42" s="82" t="s">
        <v>73</v>
      </c>
      <c r="D42" s="87" t="str">
        <f>weights_editor!A44</f>
        <v>SOFT SKILLS</v>
      </c>
      <c r="E42" s="88" t="str">
        <f>weights_editor!B44</f>
        <v>Empathy &amp; Humility</v>
      </c>
      <c r="F42" s="88" t="str">
        <f>weights_editor!C44</f>
        <v>Understanding others</v>
      </c>
      <c r="G42" s="88">
        <f>weights_editor!D44</f>
        <v>1.5</v>
      </c>
      <c r="H42" s="89">
        <f>weights_editor!E44</f>
        <v>0.3</v>
      </c>
      <c r="I42" s="91" t="s">
        <v>191</v>
      </c>
    </row>
    <row r="43" ht="22.5" customHeight="1">
      <c r="A43" s="80" t="str">
        <f t="shared" si="1"/>
        <v>Junior DeveloperSOFT SKILLSEmpathy &amp; HumilityMediation and facilitation</v>
      </c>
      <c r="B43" s="81">
        <v>41.0</v>
      </c>
      <c r="C43" s="82" t="s">
        <v>73</v>
      </c>
      <c r="D43" s="87" t="str">
        <f>weights_editor!A45</f>
        <v>SOFT SKILLS</v>
      </c>
      <c r="E43" s="88" t="str">
        <f>weights_editor!B45</f>
        <v>Empathy &amp; Humility</v>
      </c>
      <c r="F43" s="88" t="str">
        <f>weights_editor!C45</f>
        <v>Mediation and facilitation</v>
      </c>
      <c r="G43" s="88">
        <f>weights_editor!D45</f>
        <v>0.5</v>
      </c>
      <c r="H43" s="89">
        <f>weights_editor!E45</f>
        <v>0.2</v>
      </c>
      <c r="I43" s="91" t="s">
        <v>192</v>
      </c>
    </row>
    <row r="44" ht="22.5" customHeight="1">
      <c r="A44" s="80" t="str">
        <f t="shared" si="1"/>
        <v>Junior DeveloperSOFT SKILLSEmpathy &amp; HumilityMentoring</v>
      </c>
      <c r="B44" s="81">
        <v>42.0</v>
      </c>
      <c r="C44" s="82" t="s">
        <v>73</v>
      </c>
      <c r="D44" s="87" t="str">
        <f>weights_editor!A46</f>
        <v>SOFT SKILLS</v>
      </c>
      <c r="E44" s="88" t="str">
        <f>weights_editor!B46</f>
        <v>Empathy &amp; Humility</v>
      </c>
      <c r="F44" s="88" t="str">
        <f>weights_editor!C46</f>
        <v>Mentoring</v>
      </c>
      <c r="G44" s="88">
        <f>weights_editor!D46</f>
        <v>0</v>
      </c>
      <c r="H44" s="89">
        <f>weights_editor!E46</f>
        <v>0.2</v>
      </c>
      <c r="I44" s="91" t="s">
        <v>193</v>
      </c>
    </row>
    <row r="45" ht="22.5" customHeight="1">
      <c r="A45" s="80" t="str">
        <f t="shared" si="1"/>
        <v>Junior DeveloperSOFT SKILLSCommunication</v>
      </c>
      <c r="B45" s="81">
        <v>43.0</v>
      </c>
      <c r="C45" s="82" t="s">
        <v>73</v>
      </c>
      <c r="D45" s="87" t="str">
        <f>weights_editor!A47</f>
        <v>SOFT SKILLS</v>
      </c>
      <c r="E45" s="88" t="str">
        <f>weights_editor!B47</f>
        <v>Communication</v>
      </c>
      <c r="F45" s="88" t="str">
        <f>weights_editor!C47</f>
        <v/>
      </c>
      <c r="G45" s="88">
        <f>weights_editor!D47</f>
        <v>1.25</v>
      </c>
      <c r="H45" s="89">
        <f>weights_editor!E47</f>
        <v>0.3</v>
      </c>
      <c r="I45" s="90" t="s">
        <v>194</v>
      </c>
    </row>
    <row r="46" ht="22.5" customHeight="1">
      <c r="A46" s="80" t="str">
        <f t="shared" si="1"/>
        <v>Junior DeveloperSOFT SKILLSCommunicationKeeping people informed</v>
      </c>
      <c r="B46" s="81">
        <v>44.0</v>
      </c>
      <c r="C46" s="82" t="s">
        <v>73</v>
      </c>
      <c r="D46" s="87" t="str">
        <f>weights_editor!A48</f>
        <v>SOFT SKILLS</v>
      </c>
      <c r="E46" s="88" t="str">
        <f>weights_editor!B48</f>
        <v>Communication</v>
      </c>
      <c r="F46" s="88" t="str">
        <f>weights_editor!C48</f>
        <v>Keeping people informed</v>
      </c>
      <c r="G46" s="88">
        <f>weights_editor!D48</f>
        <v>1.2</v>
      </c>
      <c r="H46" s="89">
        <f>weights_editor!E48</f>
        <v>0.5</v>
      </c>
      <c r="I46" s="91" t="s">
        <v>195</v>
      </c>
    </row>
    <row r="47" ht="22.5" customHeight="1">
      <c r="A47" s="80" t="str">
        <f t="shared" si="1"/>
        <v>Junior DeveloperSOFT SKILLSCommunicationLooking for feedback</v>
      </c>
      <c r="B47" s="81">
        <v>45.0</v>
      </c>
      <c r="C47" s="82" t="s">
        <v>73</v>
      </c>
      <c r="D47" s="87" t="str">
        <f>weights_editor!A49</f>
        <v>SOFT SKILLS</v>
      </c>
      <c r="E47" s="88" t="str">
        <f>weights_editor!B49</f>
        <v>Communication</v>
      </c>
      <c r="F47" s="88" t="str">
        <f>weights_editor!C49</f>
        <v>Looking for feedback</v>
      </c>
      <c r="G47" s="88">
        <f>weights_editor!D49</f>
        <v>2</v>
      </c>
      <c r="H47" s="89">
        <f>weights_editor!E49</f>
        <v>0.3</v>
      </c>
      <c r="I47" s="91" t="s">
        <v>196</v>
      </c>
    </row>
    <row r="48" ht="22.5" customHeight="1">
      <c r="A48" s="80" t="str">
        <f t="shared" si="1"/>
        <v>Junior DeveloperSOFT SKILLSCommunicationDelivering bad news</v>
      </c>
      <c r="B48" s="81">
        <v>46.0</v>
      </c>
      <c r="C48" s="82" t="s">
        <v>73</v>
      </c>
      <c r="D48" s="87" t="str">
        <f>weights_editor!A50</f>
        <v>SOFT SKILLS</v>
      </c>
      <c r="E48" s="88" t="str">
        <f>weights_editor!B50</f>
        <v>Communication</v>
      </c>
      <c r="F48" s="88" t="str">
        <f>weights_editor!C50</f>
        <v>Delivering bad news</v>
      </c>
      <c r="G48" s="88">
        <f>weights_editor!D50</f>
        <v>0.5</v>
      </c>
      <c r="H48" s="89">
        <f>weights_editor!E50</f>
        <v>0.1</v>
      </c>
      <c r="I48" s="91" t="s">
        <v>197</v>
      </c>
    </row>
    <row r="49" ht="22.5" customHeight="1">
      <c r="A49" s="80" t="str">
        <f t="shared" si="1"/>
        <v>Junior DeveloperSOFT SKILLSCommunicationMentoring communicators</v>
      </c>
      <c r="B49" s="81">
        <v>47.0</v>
      </c>
      <c r="C49" s="82" t="s">
        <v>73</v>
      </c>
      <c r="D49" s="87" t="str">
        <f>weights_editor!A51</f>
        <v>SOFT SKILLS</v>
      </c>
      <c r="E49" s="88" t="str">
        <f>weights_editor!B51</f>
        <v>Communication</v>
      </c>
      <c r="F49" s="88" t="str">
        <f>weights_editor!C51</f>
        <v>Mentoring communicators</v>
      </c>
      <c r="G49" s="88">
        <f>weights_editor!D51</f>
        <v>0</v>
      </c>
      <c r="H49" s="89">
        <f>weights_editor!E51</f>
        <v>0.1</v>
      </c>
      <c r="I49" s="91" t="s">
        <v>198</v>
      </c>
    </row>
    <row r="50" ht="22.5" customHeight="1">
      <c r="A50" s="80" t="str">
        <f t="shared" si="1"/>
        <v>Junior DeveloperSOFT SKILLSInitiative</v>
      </c>
      <c r="B50" s="81">
        <v>48.0</v>
      </c>
      <c r="C50" s="82" t="s">
        <v>73</v>
      </c>
      <c r="D50" s="87" t="str">
        <f>weights_editor!A52</f>
        <v>SOFT SKILLS</v>
      </c>
      <c r="E50" s="88" t="str">
        <f>weights_editor!B52</f>
        <v>Initiative</v>
      </c>
      <c r="F50" s="88" t="str">
        <f>weights_editor!C52</f>
        <v/>
      </c>
      <c r="G50" s="88">
        <f>weights_editor!D52</f>
        <v>1.85</v>
      </c>
      <c r="H50" s="89">
        <f>weights_editor!E52</f>
        <v>0.2</v>
      </c>
      <c r="I50" s="90" t="s">
        <v>199</v>
      </c>
    </row>
    <row r="51" ht="22.5" customHeight="1">
      <c r="A51" s="80" t="str">
        <f t="shared" si="1"/>
        <v>Junior DeveloperSOFT SKILLSInitiativeCan-do attitude</v>
      </c>
      <c r="B51" s="81">
        <v>49.0</v>
      </c>
      <c r="C51" s="82" t="s">
        <v>73</v>
      </c>
      <c r="D51" s="87" t="str">
        <f>weights_editor!A53</f>
        <v>SOFT SKILLS</v>
      </c>
      <c r="E51" s="88" t="str">
        <f>weights_editor!B53</f>
        <v>Initiative</v>
      </c>
      <c r="F51" s="88" t="str">
        <f>weights_editor!C53</f>
        <v>Can-do attitude</v>
      </c>
      <c r="G51" s="88">
        <f>weights_editor!D53</f>
        <v>2</v>
      </c>
      <c r="H51" s="89">
        <f>weights_editor!E53</f>
        <v>0.6</v>
      </c>
      <c r="I51" s="91" t="s">
        <v>200</v>
      </c>
    </row>
    <row r="52" ht="22.5" customHeight="1">
      <c r="A52" s="80" t="str">
        <f t="shared" si="1"/>
        <v>Junior DeveloperSOFT SKILLSInitiativePro-activity in seeking help</v>
      </c>
      <c r="B52" s="81">
        <v>50.0</v>
      </c>
      <c r="C52" s="82" t="s">
        <v>73</v>
      </c>
      <c r="D52" s="87" t="str">
        <f>weights_editor!A54</f>
        <v>SOFT SKILLS</v>
      </c>
      <c r="E52" s="88" t="str">
        <f>weights_editor!B54</f>
        <v>Initiative</v>
      </c>
      <c r="F52" s="88" t="str">
        <f>weights_editor!C54</f>
        <v>Pro-activity in seeking help</v>
      </c>
      <c r="G52" s="88">
        <f>weights_editor!D54</f>
        <v>2</v>
      </c>
      <c r="H52" s="89">
        <f>weights_editor!E54</f>
        <v>0.25</v>
      </c>
      <c r="I52" s="91" t="s">
        <v>201</v>
      </c>
    </row>
    <row r="53" ht="22.5" customHeight="1">
      <c r="A53" s="80" t="str">
        <f t="shared" si="1"/>
        <v>Junior DeveloperSOFT SKILLSInitiativeFollow through</v>
      </c>
      <c r="B53" s="81">
        <v>51.0</v>
      </c>
      <c r="C53" s="82" t="s">
        <v>73</v>
      </c>
      <c r="D53" s="87" t="str">
        <f>weights_editor!A55</f>
        <v>SOFT SKILLS</v>
      </c>
      <c r="E53" s="88" t="str">
        <f>weights_editor!B55</f>
        <v>Initiative</v>
      </c>
      <c r="F53" s="88" t="str">
        <f>weights_editor!C55</f>
        <v>Follow through</v>
      </c>
      <c r="G53" s="88">
        <f>weights_editor!D55</f>
        <v>1</v>
      </c>
      <c r="H53" s="89">
        <f>weights_editor!E55</f>
        <v>0.15</v>
      </c>
      <c r="I53" s="91" t="s">
        <v>202</v>
      </c>
    </row>
    <row r="54" ht="22.5" customHeight="1">
      <c r="A54" s="80" t="str">
        <f t="shared" si="1"/>
        <v>Junior DeveloperSOFT SKILLSObjectivity &amp; Adaptability</v>
      </c>
      <c r="B54" s="81">
        <v>52.0</v>
      </c>
      <c r="C54" s="82" t="s">
        <v>73</v>
      </c>
      <c r="D54" s="87" t="str">
        <f>weights_editor!A56</f>
        <v>SOFT SKILLS</v>
      </c>
      <c r="E54" s="88" t="str">
        <f>weights_editor!B56</f>
        <v>Objectivity &amp; Adaptability</v>
      </c>
      <c r="F54" s="88" t="str">
        <f>weights_editor!C56</f>
        <v/>
      </c>
      <c r="G54" s="88">
        <f>weights_editor!D56</f>
        <v>1.545</v>
      </c>
      <c r="H54" s="89">
        <f>weights_editor!E56</f>
        <v>0.08</v>
      </c>
      <c r="I54" s="90" t="s">
        <v>203</v>
      </c>
    </row>
    <row r="55" ht="22.5" customHeight="1">
      <c r="A55" s="80" t="str">
        <f t="shared" si="1"/>
        <v>Junior DeveloperSOFT SKILLSObjectivity &amp; AdaptabilityEfficient decision-making</v>
      </c>
      <c r="B55" s="81">
        <v>53.0</v>
      </c>
      <c r="C55" s="82" t="s">
        <v>73</v>
      </c>
      <c r="D55" s="87" t="str">
        <f>weights_editor!A57</f>
        <v>SOFT SKILLS</v>
      </c>
      <c r="E55" s="88" t="str">
        <f>weights_editor!B57</f>
        <v>Objectivity &amp; Adaptability</v>
      </c>
      <c r="F55" s="88" t="str">
        <f>weights_editor!C57</f>
        <v>Efficient decision-making</v>
      </c>
      <c r="G55" s="88">
        <f>weights_editor!D57</f>
        <v>1</v>
      </c>
      <c r="H55" s="89">
        <f>weights_editor!E57</f>
        <v>0.5</v>
      </c>
      <c r="I55" s="91" t="s">
        <v>204</v>
      </c>
    </row>
    <row r="56" ht="22.5" customHeight="1">
      <c r="A56" s="80" t="str">
        <f t="shared" si="1"/>
        <v>Junior DeveloperSOFT SKILLSObjectivity &amp; AdaptabilitySelf improvement</v>
      </c>
      <c r="B56" s="81">
        <v>54.0</v>
      </c>
      <c r="C56" s="82" t="s">
        <v>73</v>
      </c>
      <c r="D56" s="87" t="str">
        <f>weights_editor!A58</f>
        <v>SOFT SKILLS</v>
      </c>
      <c r="E56" s="88" t="str">
        <f>weights_editor!B58</f>
        <v>Objectivity &amp; Adaptability</v>
      </c>
      <c r="F56" s="88" t="str">
        <f>weights_editor!C58</f>
        <v>Self improvement</v>
      </c>
      <c r="G56" s="88">
        <f>weights_editor!D58</f>
        <v>2.5</v>
      </c>
      <c r="H56" s="89">
        <f>weights_editor!E58</f>
        <v>0.3</v>
      </c>
      <c r="I56" s="91" t="s">
        <v>205</v>
      </c>
    </row>
    <row r="57" ht="22.5" customHeight="1">
      <c r="A57" s="80" t="str">
        <f t="shared" si="1"/>
        <v>Junior DeveloperSOFT SKILLSObjectivity &amp; AdaptabilityObjectivity</v>
      </c>
      <c r="B57" s="81">
        <v>55.0</v>
      </c>
      <c r="C57" s="82" t="s">
        <v>73</v>
      </c>
      <c r="D57" s="87" t="str">
        <f>weights_editor!A59</f>
        <v>SOFT SKILLS</v>
      </c>
      <c r="E57" s="88" t="str">
        <f>weights_editor!B59</f>
        <v>Objectivity &amp; Adaptability</v>
      </c>
      <c r="F57" s="88" t="str">
        <f>weights_editor!C59</f>
        <v>Objectivity</v>
      </c>
      <c r="G57" s="88">
        <f>weights_editor!D59</f>
        <v>1.5</v>
      </c>
      <c r="H57" s="89">
        <f>weights_editor!E59</f>
        <v>0.15</v>
      </c>
      <c r="I57" s="91" t="s">
        <v>206</v>
      </c>
    </row>
    <row r="58" ht="22.5" customHeight="1">
      <c r="A58" s="80" t="str">
        <f t="shared" si="1"/>
        <v>Junior DeveloperSOFT SKILLSObjectivity &amp; AdaptabilityTime management</v>
      </c>
      <c r="B58" s="81">
        <v>56.0</v>
      </c>
      <c r="C58" s="82" t="s">
        <v>73</v>
      </c>
      <c r="D58" s="87" t="str">
        <f>weights_editor!A60</f>
        <v>SOFT SKILLS</v>
      </c>
      <c r="E58" s="88" t="str">
        <f>weights_editor!B60</f>
        <v>Objectivity &amp; Adaptability</v>
      </c>
      <c r="F58" s="88" t="str">
        <f>weights_editor!C60</f>
        <v>Time management</v>
      </c>
      <c r="G58" s="88">
        <f>weights_editor!D60</f>
        <v>1.4</v>
      </c>
      <c r="H58" s="89">
        <f>weights_editor!E60</f>
        <v>0.05</v>
      </c>
      <c r="I58" s="91" t="s">
        <v>207</v>
      </c>
    </row>
    <row r="59" ht="22.5" customHeight="1">
      <c r="A59" s="80" t="str">
        <f t="shared" si="1"/>
        <v>Junior DeveloperSOFT SKILLSBusiness Acumen</v>
      </c>
      <c r="B59" s="81">
        <v>57.0</v>
      </c>
      <c r="C59" s="82" t="s">
        <v>73</v>
      </c>
      <c r="D59" s="87" t="str">
        <f>weights_editor!A61</f>
        <v>SOFT SKILLS</v>
      </c>
      <c r="E59" s="88" t="str">
        <f>weights_editor!B61</f>
        <v>Business Acumen</v>
      </c>
      <c r="F59" s="88" t="str">
        <f>weights_editor!C61</f>
        <v/>
      </c>
      <c r="G59" s="88">
        <f>weights_editor!D61</f>
        <v>1</v>
      </c>
      <c r="H59" s="89">
        <f>weights_editor!E61</f>
        <v>0.02</v>
      </c>
      <c r="I59" s="90"/>
    </row>
    <row r="60" ht="22.5" customHeight="1">
      <c r="A60" s="80" t="str">
        <f t="shared" si="1"/>
        <v>Junior DeveloperSOFT SKILLSBusiness AcumenUnderstanding level</v>
      </c>
      <c r="B60" s="81">
        <v>58.0</v>
      </c>
      <c r="C60" s="82" t="s">
        <v>73</v>
      </c>
      <c r="D60" s="87" t="str">
        <f>weights_editor!A62</f>
        <v>SOFT SKILLS</v>
      </c>
      <c r="E60" s="88" t="str">
        <f>weights_editor!B62</f>
        <v>Business Acumen</v>
      </c>
      <c r="F60" s="88" t="str">
        <f>weights_editor!C62</f>
        <v>Understanding level</v>
      </c>
      <c r="G60" s="88">
        <f>weights_editor!D62</f>
        <v>1</v>
      </c>
      <c r="H60" s="89">
        <f>weights_editor!E62</f>
        <v>1</v>
      </c>
      <c r="I60" s="91" t="s">
        <v>208</v>
      </c>
    </row>
    <row r="61" ht="22.5" customHeight="1">
      <c r="A61" s="80" t="str">
        <f t="shared" si="1"/>
        <v>Junior DeveloperLEADERSHIP</v>
      </c>
      <c r="B61" s="81">
        <v>59.0</v>
      </c>
      <c r="C61" s="82" t="s">
        <v>73</v>
      </c>
      <c r="D61" s="83" t="str">
        <f>weights_editor!A64</f>
        <v>LEADERSHIP</v>
      </c>
      <c r="E61" s="84" t="str">
        <f>weights_editor!B64</f>
        <v/>
      </c>
      <c r="F61" s="84" t="str">
        <f>weights_editor!C64</f>
        <v/>
      </c>
      <c r="G61" s="84">
        <f>weights_editor!D64</f>
        <v>0.529</v>
      </c>
      <c r="H61" s="85">
        <f>weights_editor!E64</f>
        <v>0.05</v>
      </c>
      <c r="I61" s="92"/>
    </row>
    <row r="62" ht="22.5" customHeight="1">
      <c r="A62" s="80" t="str">
        <f t="shared" si="1"/>
        <v>Junior DeveloperLEADERSHIPHiring and Org Design</v>
      </c>
      <c r="B62" s="81">
        <v>60.0</v>
      </c>
      <c r="C62" s="82" t="s">
        <v>73</v>
      </c>
      <c r="D62" s="87" t="str">
        <f>weights_editor!A65</f>
        <v>LEADERSHIP</v>
      </c>
      <c r="E62" s="88" t="str">
        <f>weights_editor!B65</f>
        <v>Hiring and Org Design</v>
      </c>
      <c r="F62" s="88" t="str">
        <f>weights_editor!C65</f>
        <v/>
      </c>
      <c r="G62" s="88">
        <f>weights_editor!D65</f>
        <v>0</v>
      </c>
      <c r="H62" s="89">
        <f>weights_editor!E65</f>
        <v>0.2</v>
      </c>
      <c r="I62" s="90" t="s">
        <v>209</v>
      </c>
    </row>
    <row r="63" ht="22.5" customHeight="1">
      <c r="A63" s="80" t="str">
        <f t="shared" si="1"/>
        <v>Junior DeveloperLEADERSHIPHiring and Org DesignDeploying Teams</v>
      </c>
      <c r="B63" s="81">
        <v>61.0</v>
      </c>
      <c r="C63" s="82" t="s">
        <v>73</v>
      </c>
      <c r="D63" s="87" t="str">
        <f>weights_editor!A66</f>
        <v>LEADERSHIP</v>
      </c>
      <c r="E63" s="88" t="str">
        <f>weights_editor!B66</f>
        <v>Hiring and Org Design</v>
      </c>
      <c r="F63" s="88" t="str">
        <f>weights_editor!C66</f>
        <v>Deploying Teams</v>
      </c>
      <c r="G63" s="88">
        <f>weights_editor!D66</f>
        <v>0</v>
      </c>
      <c r="H63" s="89">
        <f>weights_editor!E66</f>
        <v>0.4</v>
      </c>
      <c r="I63" s="91" t="s">
        <v>167</v>
      </c>
    </row>
    <row r="64" ht="22.5" customHeight="1">
      <c r="A64" s="80" t="str">
        <f t="shared" si="1"/>
        <v>Junior DeveloperLEADERSHIPHiring and Org DesignEmployer Brand</v>
      </c>
      <c r="B64" s="81">
        <v>62.0</v>
      </c>
      <c r="C64" s="82" t="s">
        <v>73</v>
      </c>
      <c r="D64" s="87" t="str">
        <f>weights_editor!A67</f>
        <v>LEADERSHIP</v>
      </c>
      <c r="E64" s="88" t="str">
        <f>weights_editor!B67</f>
        <v>Hiring and Org Design</v>
      </c>
      <c r="F64" s="88" t="str">
        <f>weights_editor!C67</f>
        <v>Employer Brand</v>
      </c>
      <c r="G64" s="88">
        <f>weights_editor!D67</f>
        <v>0</v>
      </c>
      <c r="H64" s="89">
        <f>weights_editor!E67</f>
        <v>0.4</v>
      </c>
      <c r="I64" s="91" t="s">
        <v>167</v>
      </c>
    </row>
    <row r="65" ht="22.5" customHeight="1">
      <c r="A65" s="80" t="str">
        <f t="shared" si="1"/>
        <v>Junior DeveloperLEADERSHIPHiring and Org DesignHiring</v>
      </c>
      <c r="B65" s="81">
        <v>63.0</v>
      </c>
      <c r="C65" s="82" t="s">
        <v>73</v>
      </c>
      <c r="D65" s="87" t="str">
        <f>weights_editor!A68</f>
        <v>LEADERSHIP</v>
      </c>
      <c r="E65" s="88" t="str">
        <f>weights_editor!B68</f>
        <v>Hiring and Org Design</v>
      </c>
      <c r="F65" s="88" t="str">
        <f>weights_editor!C68</f>
        <v>Hiring</v>
      </c>
      <c r="G65" s="88">
        <f>weights_editor!D68</f>
        <v>0</v>
      </c>
      <c r="H65" s="89">
        <f>weights_editor!E68</f>
        <v>0.2</v>
      </c>
      <c r="I65" s="91" t="s">
        <v>167</v>
      </c>
    </row>
    <row r="66" ht="22.5" customHeight="1">
      <c r="A66" s="80" t="str">
        <f t="shared" si="1"/>
        <v>Junior DeveloperLEADERSHIPStakeholder Management</v>
      </c>
      <c r="B66" s="81">
        <v>64.0</v>
      </c>
      <c r="C66" s="82" t="s">
        <v>73</v>
      </c>
      <c r="D66" s="87" t="str">
        <f>weights_editor!A69</f>
        <v>LEADERSHIP</v>
      </c>
      <c r="E66" s="88" t="str">
        <f>weights_editor!B69</f>
        <v>Stakeholder Management</v>
      </c>
      <c r="F66" s="88" t="str">
        <f>weights_editor!C69</f>
        <v/>
      </c>
      <c r="G66" s="88">
        <f>weights_editor!D69</f>
        <v>0.73</v>
      </c>
      <c r="H66" s="89">
        <f>weights_editor!E69</f>
        <v>0.3</v>
      </c>
      <c r="I66" s="90" t="s">
        <v>210</v>
      </c>
    </row>
    <row r="67" ht="22.5" customHeight="1">
      <c r="A67" s="80" t="str">
        <f t="shared" si="1"/>
        <v>Junior DeveloperLEADERSHIPStakeholder ManagementManaging Goals and Expectations</v>
      </c>
      <c r="B67" s="81">
        <v>65.0</v>
      </c>
      <c r="C67" s="82" t="s">
        <v>73</v>
      </c>
      <c r="D67" s="87" t="str">
        <f>weights_editor!A70</f>
        <v>LEADERSHIP</v>
      </c>
      <c r="E67" s="88" t="str">
        <f>weights_editor!B70</f>
        <v>Stakeholder Management</v>
      </c>
      <c r="F67" s="88" t="str">
        <f>weights_editor!C70</f>
        <v>Managing Goals and Expectations</v>
      </c>
      <c r="G67" s="88">
        <f>weights_editor!D70</f>
        <v>0.5</v>
      </c>
      <c r="H67" s="89">
        <f>weights_editor!E70</f>
        <v>0.4</v>
      </c>
      <c r="I67" s="91" t="s">
        <v>211</v>
      </c>
    </row>
    <row r="68" ht="22.5" customHeight="1">
      <c r="A68" s="80" t="str">
        <f t="shared" si="1"/>
        <v>Junior DeveloperLEADERSHIPStakeholder ManagementForesight</v>
      </c>
      <c r="B68" s="81">
        <v>66.0</v>
      </c>
      <c r="C68" s="82" t="s">
        <v>73</v>
      </c>
      <c r="D68" s="87" t="str">
        <f>weights_editor!A71</f>
        <v>LEADERSHIP</v>
      </c>
      <c r="E68" s="88" t="str">
        <f>weights_editor!B71</f>
        <v>Stakeholder Management</v>
      </c>
      <c r="F68" s="88" t="str">
        <f>weights_editor!C71</f>
        <v>Foresight</v>
      </c>
      <c r="G68" s="88">
        <f>weights_editor!D71</f>
        <v>0.8</v>
      </c>
      <c r="H68" s="89">
        <f>weights_editor!E71</f>
        <v>0.3</v>
      </c>
      <c r="I68" s="91" t="s">
        <v>212</v>
      </c>
    </row>
    <row r="69" ht="22.5" customHeight="1">
      <c r="A69" s="80" t="str">
        <f t="shared" si="1"/>
        <v>Junior DeveloperLEADERSHIPStakeholder ManagementEngendering Trust</v>
      </c>
      <c r="B69" s="81">
        <v>67.0</v>
      </c>
      <c r="C69" s="82" t="s">
        <v>73</v>
      </c>
      <c r="D69" s="87" t="str">
        <f>weights_editor!A72</f>
        <v>LEADERSHIP</v>
      </c>
      <c r="E69" s="88" t="str">
        <f>weights_editor!B72</f>
        <v>Stakeholder Management</v>
      </c>
      <c r="F69" s="88" t="str">
        <f>weights_editor!C72</f>
        <v>Engendering Trust</v>
      </c>
      <c r="G69" s="88">
        <f>weights_editor!D72</f>
        <v>1.2</v>
      </c>
      <c r="H69" s="89">
        <f>weights_editor!E72</f>
        <v>0.2</v>
      </c>
      <c r="I69" s="91" t="s">
        <v>213</v>
      </c>
    </row>
    <row r="70" ht="22.5" customHeight="1">
      <c r="A70" s="80" t="str">
        <f t="shared" si="1"/>
        <v>Junior DeveloperLEADERSHIPStakeholder ManagementProtecting the Team</v>
      </c>
      <c r="B70" s="81">
        <v>68.0</v>
      </c>
      <c r="C70" s="82" t="s">
        <v>73</v>
      </c>
      <c r="D70" s="87" t="str">
        <f>weights_editor!A73</f>
        <v>LEADERSHIP</v>
      </c>
      <c r="E70" s="88" t="str">
        <f>weights_editor!B73</f>
        <v>Stakeholder Management</v>
      </c>
      <c r="F70" s="88" t="str">
        <f>weights_editor!C73</f>
        <v>Protecting the Team</v>
      </c>
      <c r="G70" s="88">
        <f>weights_editor!D73</f>
        <v>0.5</v>
      </c>
      <c r="H70" s="89">
        <f>weights_editor!E73</f>
        <v>0.1</v>
      </c>
      <c r="I70" s="91" t="s">
        <v>214</v>
      </c>
    </row>
    <row r="71" ht="22.5" customHeight="1">
      <c r="A71" s="80" t="str">
        <f t="shared" si="1"/>
        <v>Junior DeveloperLEADERSHIPTeam Leadership</v>
      </c>
      <c r="B71" s="81">
        <v>69.0</v>
      </c>
      <c r="C71" s="82" t="s">
        <v>73</v>
      </c>
      <c r="D71" s="87" t="str">
        <f>weights_editor!A74</f>
        <v>LEADERSHIP</v>
      </c>
      <c r="E71" s="88" t="str">
        <f>weights_editor!B74</f>
        <v>Team Leadership</v>
      </c>
      <c r="F71" s="88" t="str">
        <f>weights_editor!C74</f>
        <v/>
      </c>
      <c r="G71" s="88">
        <f>weights_editor!D74</f>
        <v>0.85</v>
      </c>
      <c r="H71" s="89">
        <f>weights_editor!E74</f>
        <v>0.2</v>
      </c>
      <c r="I71" s="90" t="s">
        <v>215</v>
      </c>
    </row>
    <row r="72" ht="22.5" customHeight="1">
      <c r="A72" s="80" t="str">
        <f t="shared" si="1"/>
        <v>Junior DeveloperLEADERSHIPTeam LeadershipPutting the Team first</v>
      </c>
      <c r="B72" s="81">
        <v>70.0</v>
      </c>
      <c r="C72" s="82" t="s">
        <v>73</v>
      </c>
      <c r="D72" s="87" t="str">
        <f>weights_editor!A75</f>
        <v>LEADERSHIP</v>
      </c>
      <c r="E72" s="88" t="str">
        <f>weights_editor!B75</f>
        <v>Team Leadership</v>
      </c>
      <c r="F72" s="88" t="str">
        <f>weights_editor!C75</f>
        <v>Putting the Team first</v>
      </c>
      <c r="G72" s="88">
        <f>weights_editor!D75</f>
        <v>1</v>
      </c>
      <c r="H72" s="89">
        <f>weights_editor!E75</f>
        <v>0.5</v>
      </c>
      <c r="I72" s="91" t="s">
        <v>167</v>
      </c>
    </row>
    <row r="73" ht="22.5" customHeight="1">
      <c r="A73" s="80" t="str">
        <f t="shared" si="1"/>
        <v>Junior DeveloperLEADERSHIPTeam LeadershipDifficult Conversations</v>
      </c>
      <c r="B73" s="81">
        <v>71.0</v>
      </c>
      <c r="C73" s="82" t="s">
        <v>73</v>
      </c>
      <c r="D73" s="87" t="str">
        <f>weights_editor!A76</f>
        <v>LEADERSHIP</v>
      </c>
      <c r="E73" s="88" t="str">
        <f>weights_editor!B76</f>
        <v>Team Leadership</v>
      </c>
      <c r="F73" s="88" t="str">
        <f>weights_editor!C76</f>
        <v>Difficult Conversations</v>
      </c>
      <c r="G73" s="88">
        <f>weights_editor!D76</f>
        <v>0</v>
      </c>
      <c r="H73" s="89">
        <f>weights_editor!E76</f>
        <v>0.2</v>
      </c>
      <c r="I73" s="91" t="s">
        <v>167</v>
      </c>
    </row>
    <row r="74" ht="22.5" customHeight="1">
      <c r="A74" s="80" t="str">
        <f t="shared" si="1"/>
        <v>Junior DeveloperLEADERSHIPTeam LeadershipReliability</v>
      </c>
      <c r="B74" s="81">
        <v>72.0</v>
      </c>
      <c r="C74" s="82" t="s">
        <v>73</v>
      </c>
      <c r="D74" s="87" t="str">
        <f>weights_editor!A77</f>
        <v>LEADERSHIP</v>
      </c>
      <c r="E74" s="88" t="str">
        <f>weights_editor!B77</f>
        <v>Team Leadership</v>
      </c>
      <c r="F74" s="88" t="str">
        <f>weights_editor!C77</f>
        <v>Reliability</v>
      </c>
      <c r="G74" s="88">
        <f>weights_editor!D77</f>
        <v>1</v>
      </c>
      <c r="H74" s="89">
        <f>weights_editor!E77</f>
        <v>0.2</v>
      </c>
      <c r="I74" s="91" t="s">
        <v>167</v>
      </c>
    </row>
    <row r="75" ht="22.5" customHeight="1">
      <c r="A75" s="80" t="str">
        <f t="shared" si="1"/>
        <v>Junior DeveloperLEADERSHIPTeam LeadershipVulnerability</v>
      </c>
      <c r="B75" s="81">
        <v>73.0</v>
      </c>
      <c r="C75" s="82" t="s">
        <v>73</v>
      </c>
      <c r="D75" s="87" t="str">
        <f>weights_editor!A78</f>
        <v>LEADERSHIP</v>
      </c>
      <c r="E75" s="88" t="str">
        <f>weights_editor!B78</f>
        <v>Team Leadership</v>
      </c>
      <c r="F75" s="88" t="str">
        <f>weights_editor!C78</f>
        <v>Vulnerability</v>
      </c>
      <c r="G75" s="88">
        <f>weights_editor!D78</f>
        <v>1.5</v>
      </c>
      <c r="H75" s="89">
        <f>weights_editor!E78</f>
        <v>0.1</v>
      </c>
      <c r="I75" s="91" t="s">
        <v>167</v>
      </c>
    </row>
    <row r="76" ht="22.5" customHeight="1">
      <c r="A76" s="80" t="str">
        <f t="shared" si="1"/>
        <v>Junior DeveloperLEADERSHIPDeveloping Others</v>
      </c>
      <c r="B76" s="81">
        <v>74.0</v>
      </c>
      <c r="C76" s="82" t="s">
        <v>73</v>
      </c>
      <c r="D76" s="87" t="str">
        <f>weights_editor!A79</f>
        <v>LEADERSHIP</v>
      </c>
      <c r="E76" s="88" t="str">
        <f>weights_editor!B79</f>
        <v>Developing Others</v>
      </c>
      <c r="F76" s="88" t="str">
        <f>weights_editor!C79</f>
        <v/>
      </c>
      <c r="G76" s="88">
        <f>weights_editor!D79</f>
        <v>0.15</v>
      </c>
      <c r="H76" s="89">
        <f>weights_editor!E79</f>
        <v>0.2</v>
      </c>
      <c r="I76" s="90" t="s">
        <v>216</v>
      </c>
    </row>
    <row r="77" ht="22.5" customHeight="1">
      <c r="A77" s="80" t="str">
        <f t="shared" si="1"/>
        <v>Junior DeveloperLEADERSHIPDeveloping OthersIdentifying strengths</v>
      </c>
      <c r="B77" s="81">
        <v>75.0</v>
      </c>
      <c r="C77" s="82" t="s">
        <v>73</v>
      </c>
      <c r="D77" s="87" t="str">
        <f>weights_editor!A80</f>
        <v>LEADERSHIP</v>
      </c>
      <c r="E77" s="88" t="str">
        <f>weights_editor!B80</f>
        <v>Developing Others</v>
      </c>
      <c r="F77" s="88" t="str">
        <f>weights_editor!C80</f>
        <v>Identifying strengths</v>
      </c>
      <c r="G77" s="88">
        <f>weights_editor!D80</f>
        <v>0</v>
      </c>
      <c r="H77" s="89">
        <f>weights_editor!E80</f>
        <v>0.3</v>
      </c>
      <c r="I77" s="91" t="s">
        <v>167</v>
      </c>
    </row>
    <row r="78" ht="22.5" customHeight="1">
      <c r="A78" s="80" t="str">
        <f t="shared" si="1"/>
        <v>Junior DeveloperLEADERSHIPDeveloping OthersSupporting team growth</v>
      </c>
      <c r="B78" s="81">
        <v>76.0</v>
      </c>
      <c r="C78" s="82" t="s">
        <v>73</v>
      </c>
      <c r="D78" s="87" t="str">
        <f>weights_editor!A81</f>
        <v>LEADERSHIP</v>
      </c>
      <c r="E78" s="88" t="str">
        <f>weights_editor!B81</f>
        <v>Developing Others</v>
      </c>
      <c r="F78" s="88" t="str">
        <f>weights_editor!C81</f>
        <v>Supporting team growth</v>
      </c>
      <c r="G78" s="88">
        <f>weights_editor!D81</f>
        <v>0</v>
      </c>
      <c r="H78" s="89">
        <f>weights_editor!E81</f>
        <v>0.4</v>
      </c>
      <c r="I78" s="91" t="s">
        <v>167</v>
      </c>
    </row>
    <row r="79" ht="22.5" customHeight="1">
      <c r="A79" s="80" t="str">
        <f t="shared" si="1"/>
        <v>Junior DeveloperLEADERSHIPDeveloping OthersInvesting in process</v>
      </c>
      <c r="B79" s="81">
        <v>77.0</v>
      </c>
      <c r="C79" s="82" t="s">
        <v>73</v>
      </c>
      <c r="D79" s="87" t="str">
        <f>weights_editor!A82</f>
        <v>LEADERSHIP</v>
      </c>
      <c r="E79" s="88" t="str">
        <f>weights_editor!B82</f>
        <v>Developing Others</v>
      </c>
      <c r="F79" s="88" t="str">
        <f>weights_editor!C82</f>
        <v>Investing in process</v>
      </c>
      <c r="G79" s="88">
        <f>weights_editor!D82</f>
        <v>0.5</v>
      </c>
      <c r="H79" s="89">
        <f>weights_editor!E82</f>
        <v>0.2</v>
      </c>
      <c r="I79" s="91" t="s">
        <v>167</v>
      </c>
    </row>
    <row r="80" ht="22.5" customHeight="1">
      <c r="A80" s="80" t="str">
        <f t="shared" si="1"/>
        <v>Junior DeveloperLEADERSHIPDeveloping OthersFeedback on work</v>
      </c>
      <c r="B80" s="81">
        <v>78.0</v>
      </c>
      <c r="C80" s="82" t="s">
        <v>73</v>
      </c>
      <c r="D80" s="87" t="str">
        <f>weights_editor!A83</f>
        <v>LEADERSHIP</v>
      </c>
      <c r="E80" s="88" t="str">
        <f>weights_editor!B83</f>
        <v>Developing Others</v>
      </c>
      <c r="F80" s="88" t="str">
        <f>weights_editor!C83</f>
        <v>Feedback on work</v>
      </c>
      <c r="G80" s="88">
        <f>weights_editor!D83</f>
        <v>0.5</v>
      </c>
      <c r="H80" s="89">
        <f>weights_editor!E83</f>
        <v>0.1</v>
      </c>
      <c r="I80" s="91" t="s">
        <v>167</v>
      </c>
    </row>
    <row r="81" ht="22.5" customHeight="1">
      <c r="A81" s="80" t="str">
        <f t="shared" si="1"/>
        <v>Junior DeveloperLEADERSHIPCulture &amp; Togetherness</v>
      </c>
      <c r="B81" s="81">
        <v>79.0</v>
      </c>
      <c r="C81" s="82" t="s">
        <v>73</v>
      </c>
      <c r="D81" s="87" t="str">
        <f>weights_editor!A84</f>
        <v>LEADERSHIP</v>
      </c>
      <c r="E81" s="88" t="str">
        <f>weights_editor!B84</f>
        <v>Culture &amp; Togetherness</v>
      </c>
      <c r="F81" s="88" t="str">
        <f>weights_editor!C84</f>
        <v/>
      </c>
      <c r="G81" s="88">
        <f>weights_editor!D84</f>
        <v>1.1</v>
      </c>
      <c r="H81" s="89">
        <f>weights_editor!E84</f>
        <v>0.1</v>
      </c>
      <c r="I81" s="90" t="s">
        <v>217</v>
      </c>
    </row>
    <row r="82" ht="22.5" customHeight="1">
      <c r="A82" s="80" t="str">
        <f t="shared" si="1"/>
        <v>Junior DeveloperLEADERSHIPCulture &amp; TogethernessSetting an Example</v>
      </c>
      <c r="B82" s="81">
        <v>80.0</v>
      </c>
      <c r="C82" s="82" t="s">
        <v>73</v>
      </c>
      <c r="D82" s="87" t="str">
        <f>weights_editor!A85</f>
        <v>LEADERSHIP</v>
      </c>
      <c r="E82" s="88" t="str">
        <f>weights_editor!B85</f>
        <v>Culture &amp; Togetherness</v>
      </c>
      <c r="F82" s="88" t="str">
        <f>weights_editor!C85</f>
        <v>Setting an Example</v>
      </c>
      <c r="G82" s="88">
        <f>weights_editor!D85</f>
        <v>1.5</v>
      </c>
      <c r="H82" s="89">
        <f>weights_editor!E85</f>
        <v>0.5</v>
      </c>
      <c r="I82" s="91" t="s">
        <v>218</v>
      </c>
    </row>
    <row r="83" ht="22.5" customHeight="1">
      <c r="A83" s="80" t="str">
        <f t="shared" si="1"/>
        <v>Junior DeveloperLEADERSHIPCulture &amp; TogethernessEncouraging diverse opinions</v>
      </c>
      <c r="B83" s="81">
        <v>81.0</v>
      </c>
      <c r="C83" s="82" t="s">
        <v>73</v>
      </c>
      <c r="D83" s="87" t="str">
        <f>weights_editor!A86</f>
        <v>LEADERSHIP</v>
      </c>
      <c r="E83" s="88" t="str">
        <f>weights_editor!B86</f>
        <v>Culture &amp; Togetherness</v>
      </c>
      <c r="F83" s="88" t="str">
        <f>weights_editor!C86</f>
        <v>Encouraging diverse opinions</v>
      </c>
      <c r="G83" s="88">
        <f>weights_editor!D86</f>
        <v>0.5</v>
      </c>
      <c r="H83" s="89">
        <f>weights_editor!E86</f>
        <v>0.3</v>
      </c>
      <c r="I83" s="91" t="s">
        <v>219</v>
      </c>
    </row>
    <row r="84" ht="22.5" customHeight="1">
      <c r="A84" s="80" t="str">
        <f t="shared" si="1"/>
        <v>Junior DeveloperLEADERSHIPCulture &amp; TogethernessDeveloping personal relationships</v>
      </c>
      <c r="B84" s="81">
        <v>82.0</v>
      </c>
      <c r="C84" s="82" t="s">
        <v>73</v>
      </c>
      <c r="D84" s="87" t="str">
        <f>weights_editor!A87</f>
        <v>LEADERSHIP</v>
      </c>
      <c r="E84" s="88" t="str">
        <f>weights_editor!B87</f>
        <v>Culture &amp; Togetherness</v>
      </c>
      <c r="F84" s="88" t="str">
        <f>weights_editor!C87</f>
        <v>Developing personal relationships</v>
      </c>
      <c r="G84" s="88">
        <f>weights_editor!D87</f>
        <v>1</v>
      </c>
      <c r="H84" s="89">
        <f>weights_editor!E87</f>
        <v>0.2</v>
      </c>
      <c r="I84" s="91" t="s">
        <v>220</v>
      </c>
    </row>
    <row r="85" ht="22.5" customHeight="1">
      <c r="A85" s="80" t="str">
        <f>TRIM(C85&amp;D85&amp;E85&amp;F85)</f>
        <v>Confirmed DeveloperENGINEERING CRAFT</v>
      </c>
      <c r="B85" s="81">
        <v>0.0</v>
      </c>
      <c r="C85" s="82" t="s">
        <v>74</v>
      </c>
      <c r="D85" s="93" t="str">
        <f>weights_editor!A3</f>
        <v>ENGINEERING CRAFT</v>
      </c>
      <c r="E85" s="94" t="str">
        <f>weights_editor!B3</f>
        <v/>
      </c>
      <c r="F85" s="94" t="str">
        <f>weights_editor!C3</f>
        <v/>
      </c>
      <c r="G85" s="84">
        <f>weights_editor!G3</f>
        <v>1.9675</v>
      </c>
      <c r="H85" s="85">
        <f>weights_editor!H3</f>
        <v>0.65</v>
      </c>
      <c r="I85" s="92"/>
    </row>
    <row r="86" ht="22.5" customHeight="1">
      <c r="A86" s="80" t="str">
        <f t="shared" ref="A86:A167" si="2">C86&amp;D86&amp;E86&amp;F86</f>
        <v>Confirmed DeveloperENGINEERING CRAFTWriting Code</v>
      </c>
      <c r="B86" s="81">
        <v>1.0</v>
      </c>
      <c r="C86" s="82" t="s">
        <v>74</v>
      </c>
      <c r="D86" s="87" t="str">
        <f>weights_editor!A4</f>
        <v>ENGINEERING CRAFT</v>
      </c>
      <c r="E86" s="95" t="str">
        <f>weights_editor!B4</f>
        <v>Writing Code</v>
      </c>
      <c r="F86" s="95" t="str">
        <f>weights_editor!C4</f>
        <v/>
      </c>
      <c r="G86" s="88">
        <f>weights_editor!G4</f>
        <v>1.925</v>
      </c>
      <c r="H86" s="89">
        <f>weights_editor!H4</f>
        <v>0.4</v>
      </c>
      <c r="I86" s="90" t="s">
        <v>221</v>
      </c>
    </row>
    <row r="87" ht="22.5" customHeight="1">
      <c r="A87" s="80" t="str">
        <f t="shared" si="2"/>
        <v>Confirmed DeveloperENGINEERING CRAFTWriting CodeQuality</v>
      </c>
      <c r="B87" s="81">
        <v>2.0</v>
      </c>
      <c r="C87" s="82" t="s">
        <v>74</v>
      </c>
      <c r="D87" s="87" t="str">
        <f>weights_editor!A5</f>
        <v>ENGINEERING CRAFT</v>
      </c>
      <c r="E87" s="95" t="str">
        <f>weights_editor!B5</f>
        <v>Writing Code</v>
      </c>
      <c r="F87" s="95" t="str">
        <f>weights_editor!C5</f>
        <v>Quality</v>
      </c>
      <c r="G87" s="88">
        <f>weights_editor!G5</f>
        <v>2</v>
      </c>
      <c r="H87" s="89">
        <f>weights_editor!H5</f>
        <v>0.45</v>
      </c>
      <c r="I87" s="91" t="s">
        <v>222</v>
      </c>
    </row>
    <row r="88" ht="22.5" customHeight="1">
      <c r="A88" s="80" t="str">
        <f t="shared" si="2"/>
        <v>Confirmed DeveloperENGINEERING CRAFTWriting CodeDocumentation</v>
      </c>
      <c r="B88" s="81">
        <v>3.0</v>
      </c>
      <c r="C88" s="82" t="s">
        <v>74</v>
      </c>
      <c r="D88" s="87" t="str">
        <f>weights_editor!A6</f>
        <v>ENGINEERING CRAFT</v>
      </c>
      <c r="E88" s="95" t="str">
        <f>weights_editor!B6</f>
        <v>Writing Code</v>
      </c>
      <c r="F88" s="95" t="str">
        <f>weights_editor!C6</f>
        <v>Documentation</v>
      </c>
      <c r="G88" s="88">
        <f>weights_editor!G6</f>
        <v>1.8</v>
      </c>
      <c r="H88" s="89">
        <f>weights_editor!H6</f>
        <v>0.25</v>
      </c>
      <c r="I88" s="91" t="s">
        <v>223</v>
      </c>
    </row>
    <row r="89" ht="22.5" customHeight="1">
      <c r="A89" s="80" t="str">
        <f t="shared" si="2"/>
        <v>Confirmed DeveloperENGINEERING CRAFTWriting CodeLanguage</v>
      </c>
      <c r="B89" s="81">
        <v>4.0</v>
      </c>
      <c r="C89" s="82" t="s">
        <v>74</v>
      </c>
      <c r="D89" s="87" t="str">
        <f>weights_editor!A7</f>
        <v>ENGINEERING CRAFT</v>
      </c>
      <c r="E89" s="95" t="str">
        <f>weights_editor!B7</f>
        <v>Writing Code</v>
      </c>
      <c r="F89" s="95" t="str">
        <f>weights_editor!C7</f>
        <v>Language</v>
      </c>
      <c r="G89" s="88">
        <f>weights_editor!G7</f>
        <v>2.2</v>
      </c>
      <c r="H89" s="89">
        <f>weights_editor!H7</f>
        <v>0.25</v>
      </c>
      <c r="I89" s="91" t="s">
        <v>224</v>
      </c>
    </row>
    <row r="90" ht="22.5" customHeight="1">
      <c r="A90" s="80" t="str">
        <f t="shared" si="2"/>
        <v>Confirmed DeveloperENGINEERING CRAFTWriting CodeMentoring</v>
      </c>
      <c r="B90" s="81">
        <v>5.0</v>
      </c>
      <c r="C90" s="82" t="s">
        <v>74</v>
      </c>
      <c r="D90" s="87" t="str">
        <f>weights_editor!A8</f>
        <v>ENGINEERING CRAFT</v>
      </c>
      <c r="E90" s="95" t="str">
        <f>weights_editor!B8</f>
        <v>Writing Code</v>
      </c>
      <c r="F90" s="95" t="str">
        <f>weights_editor!C8</f>
        <v>Mentoring</v>
      </c>
      <c r="G90" s="88">
        <f>weights_editor!G8</f>
        <v>0.5</v>
      </c>
      <c r="H90" s="89">
        <f>weights_editor!H8</f>
        <v>0.05</v>
      </c>
      <c r="I90" s="91" t="s">
        <v>225</v>
      </c>
    </row>
    <row r="91" ht="22.5" customHeight="1">
      <c r="A91" s="80" t="str">
        <f t="shared" si="2"/>
        <v>Confirmed DeveloperENGINEERING CRAFTTesting</v>
      </c>
      <c r="B91" s="81">
        <v>6.0</v>
      </c>
      <c r="C91" s="82" t="s">
        <v>74</v>
      </c>
      <c r="D91" s="87" t="str">
        <f>weights_editor!A9</f>
        <v>ENGINEERING CRAFT</v>
      </c>
      <c r="E91" s="95" t="str">
        <f>weights_editor!B9</f>
        <v>Testing</v>
      </c>
      <c r="F91" s="95" t="str">
        <f>weights_editor!C9</f>
        <v/>
      </c>
      <c r="G91" s="88">
        <f>weights_editor!G9</f>
        <v>2.45</v>
      </c>
      <c r="H91" s="89">
        <f>weights_editor!H9</f>
        <v>0.15</v>
      </c>
      <c r="I91" s="90" t="s">
        <v>226</v>
      </c>
    </row>
    <row r="92" ht="22.5" customHeight="1">
      <c r="A92" s="80" t="str">
        <f t="shared" si="2"/>
        <v>Confirmed DeveloperENGINEERING CRAFTTestingTesting your code</v>
      </c>
      <c r="B92" s="81">
        <v>7.0</v>
      </c>
      <c r="C92" s="82" t="s">
        <v>74</v>
      </c>
      <c r="D92" s="87" t="str">
        <f>weights_editor!A10</f>
        <v>ENGINEERING CRAFT</v>
      </c>
      <c r="E92" s="95" t="str">
        <f>weights_editor!B10</f>
        <v>Testing</v>
      </c>
      <c r="F92" s="95" t="str">
        <f>weights_editor!C10</f>
        <v>Testing your code</v>
      </c>
      <c r="G92" s="88">
        <f>weights_editor!G10</f>
        <v>2.8</v>
      </c>
      <c r="H92" s="89">
        <f>weights_editor!H10</f>
        <v>0.6</v>
      </c>
      <c r="I92" s="91" t="s">
        <v>227</v>
      </c>
    </row>
    <row r="93" ht="22.5" customHeight="1">
      <c r="A93" s="80" t="str">
        <f t="shared" si="2"/>
        <v>Confirmed DeveloperENGINEERING CRAFTTestingImproving coverage</v>
      </c>
      <c r="B93" s="81">
        <v>8.0</v>
      </c>
      <c r="C93" s="82" t="s">
        <v>74</v>
      </c>
      <c r="D93" s="87" t="str">
        <f>weights_editor!A11</f>
        <v>ENGINEERING CRAFT</v>
      </c>
      <c r="E93" s="95" t="str">
        <f>weights_editor!B11</f>
        <v>Testing</v>
      </c>
      <c r="F93" s="95" t="str">
        <f>weights_editor!C11</f>
        <v>Improving coverage</v>
      </c>
      <c r="G93" s="88">
        <f>weights_editor!G11</f>
        <v>2</v>
      </c>
      <c r="H93" s="89">
        <f>weights_editor!H11</f>
        <v>0.25</v>
      </c>
      <c r="I93" s="91" t="s">
        <v>228</v>
      </c>
    </row>
    <row r="94" ht="22.5" customHeight="1">
      <c r="A94" s="80" t="str">
        <f t="shared" si="2"/>
        <v>Confirmed DeveloperENGINEERING CRAFTTestingTaking responsibility</v>
      </c>
      <c r="B94" s="81">
        <v>9.0</v>
      </c>
      <c r="C94" s="82" t="s">
        <v>74</v>
      </c>
      <c r="D94" s="87" t="str">
        <f>weights_editor!A12</f>
        <v>ENGINEERING CRAFT</v>
      </c>
      <c r="E94" s="95" t="str">
        <f>weights_editor!B12</f>
        <v>Testing</v>
      </c>
      <c r="F94" s="95" t="str">
        <f>weights_editor!C12</f>
        <v>Taking responsibility</v>
      </c>
      <c r="G94" s="88">
        <f>weights_editor!G12</f>
        <v>1.8</v>
      </c>
      <c r="H94" s="89">
        <f>weights_editor!H12</f>
        <v>0.15</v>
      </c>
      <c r="I94" s="91" t="s">
        <v>229</v>
      </c>
    </row>
    <row r="95" ht="22.5" customHeight="1">
      <c r="A95" s="80" t="str">
        <f t="shared" si="2"/>
        <v>Confirmed DeveloperENGINEERING CRAFTTestingLeading testing strategy</v>
      </c>
      <c r="B95" s="81">
        <v>10.0</v>
      </c>
      <c r="C95" s="82" t="s">
        <v>74</v>
      </c>
      <c r="D95" s="87" t="str">
        <f>weights_editor!A13</f>
        <v>ENGINEERING CRAFT</v>
      </c>
      <c r="E95" s="95" t="str">
        <f>weights_editor!B13</f>
        <v>Testing</v>
      </c>
      <c r="F95" s="95" t="str">
        <f>weights_editor!C13</f>
        <v>Leading testing strategy</v>
      </c>
      <c r="G95" s="88">
        <f>weights_editor!G13</f>
        <v>0</v>
      </c>
      <c r="H95" s="89">
        <f>weights_editor!H13</f>
        <v>0</v>
      </c>
      <c r="I95" s="91" t="s">
        <v>167</v>
      </c>
    </row>
    <row r="96" ht="22.5" customHeight="1">
      <c r="A96" s="80" t="str">
        <f t="shared" si="2"/>
        <v>Confirmed DeveloperENGINEERING CRAFTTestingAdvocating for testing</v>
      </c>
      <c r="B96" s="81">
        <v>11.0</v>
      </c>
      <c r="C96" s="82" t="s">
        <v>74</v>
      </c>
      <c r="D96" s="87" t="str">
        <f>weights_editor!A14</f>
        <v>ENGINEERING CRAFT</v>
      </c>
      <c r="E96" s="95" t="str">
        <f>weights_editor!B14</f>
        <v>Testing</v>
      </c>
      <c r="F96" s="95" t="str">
        <f>weights_editor!C14</f>
        <v>Advocating for testing</v>
      </c>
      <c r="G96" s="88">
        <f>weights_editor!G14</f>
        <v>0</v>
      </c>
      <c r="H96" s="89">
        <f>weights_editor!H14</f>
        <v>0</v>
      </c>
      <c r="I96" s="91" t="s">
        <v>167</v>
      </c>
    </row>
    <row r="97" ht="22.5" customHeight="1">
      <c r="A97" s="80" t="str">
        <f t="shared" si="2"/>
        <v>Confirmed DeveloperENGINEERING CRAFTTechnical Understanding &amp; Prioritisation</v>
      </c>
      <c r="B97" s="81">
        <v>12.0</v>
      </c>
      <c r="C97" s="82" t="s">
        <v>74</v>
      </c>
      <c r="D97" s="87" t="str">
        <f>weights_editor!A15</f>
        <v>ENGINEERING CRAFT</v>
      </c>
      <c r="E97" s="95" t="str">
        <f>weights_editor!B15</f>
        <v>Technical Understanding &amp; Prioritisation</v>
      </c>
      <c r="F97" s="95" t="str">
        <f>weights_editor!C15</f>
        <v/>
      </c>
      <c r="G97" s="88">
        <f>weights_editor!G15</f>
        <v>2.07</v>
      </c>
      <c r="H97" s="89">
        <f>weights_editor!H15</f>
        <v>0.15</v>
      </c>
      <c r="I97" s="90" t="s">
        <v>230</v>
      </c>
    </row>
    <row r="98" ht="22.5" customHeight="1">
      <c r="A98" s="80" t="str">
        <f t="shared" si="2"/>
        <v>Confirmed DeveloperENGINEERING CRAFTTechnical Understanding &amp; PrioritisationUnderstanding code</v>
      </c>
      <c r="B98" s="81">
        <v>13.0</v>
      </c>
      <c r="C98" s="82" t="s">
        <v>74</v>
      </c>
      <c r="D98" s="87" t="str">
        <f>weights_editor!A16</f>
        <v>ENGINEERING CRAFT</v>
      </c>
      <c r="E98" s="95" t="str">
        <f>weights_editor!B16</f>
        <v>Technical Understanding &amp; Prioritisation</v>
      </c>
      <c r="F98" s="95" t="str">
        <f>weights_editor!C16</f>
        <v>Understanding code</v>
      </c>
      <c r="G98" s="88">
        <f>weights_editor!G16</f>
        <v>2.2</v>
      </c>
      <c r="H98" s="89">
        <f>weights_editor!H16</f>
        <v>0.55</v>
      </c>
      <c r="I98" s="91" t="s">
        <v>231</v>
      </c>
    </row>
    <row r="99" ht="22.5" customHeight="1">
      <c r="A99" s="80" t="str">
        <f t="shared" si="2"/>
        <v>Confirmed DeveloperENGINEERING CRAFTTechnical Understanding &amp; PrioritisationTechnical collaboration</v>
      </c>
      <c r="B99" s="81">
        <v>14.0</v>
      </c>
      <c r="C99" s="82" t="s">
        <v>74</v>
      </c>
      <c r="D99" s="87" t="str">
        <f>weights_editor!A17</f>
        <v>ENGINEERING CRAFT</v>
      </c>
      <c r="E99" s="95" t="str">
        <f>weights_editor!B17</f>
        <v>Technical Understanding &amp; Prioritisation</v>
      </c>
      <c r="F99" s="95" t="str">
        <f>weights_editor!C17</f>
        <v>Technical collaboration</v>
      </c>
      <c r="G99" s="88">
        <f>weights_editor!G17</f>
        <v>2</v>
      </c>
      <c r="H99" s="89">
        <f>weights_editor!H17</f>
        <v>0.25</v>
      </c>
      <c r="I99" s="91" t="s">
        <v>232</v>
      </c>
    </row>
    <row r="100" ht="22.5" customHeight="1">
      <c r="A100" s="80" t="str">
        <f t="shared" si="2"/>
        <v>Confirmed DeveloperENGINEERING CRAFTTechnical Understanding &amp; PrioritisationWork breakdown</v>
      </c>
      <c r="B100" s="81">
        <v>15.0</v>
      </c>
      <c r="C100" s="82" t="s">
        <v>74</v>
      </c>
      <c r="D100" s="87" t="str">
        <f>weights_editor!A18</f>
        <v>ENGINEERING CRAFT</v>
      </c>
      <c r="E100" s="95" t="str">
        <f>weights_editor!B18</f>
        <v>Technical Understanding &amp; Prioritisation</v>
      </c>
      <c r="F100" s="95" t="str">
        <f>weights_editor!C18</f>
        <v>Work breakdown</v>
      </c>
      <c r="G100" s="88">
        <f>weights_editor!G18</f>
        <v>1.8</v>
      </c>
      <c r="H100" s="89">
        <f>weights_editor!H18</f>
        <v>0.15</v>
      </c>
      <c r="I100" s="91" t="s">
        <v>233</v>
      </c>
    </row>
    <row r="101" ht="22.5" customHeight="1">
      <c r="A101" s="80" t="str">
        <f t="shared" si="2"/>
        <v>Confirmed DeveloperENGINEERING CRAFTTechnical Understanding &amp; PrioritisationTask prioritisation</v>
      </c>
      <c r="B101" s="81">
        <v>16.0</v>
      </c>
      <c r="C101" s="82" t="s">
        <v>74</v>
      </c>
      <c r="D101" s="87" t="str">
        <f>weights_editor!A19</f>
        <v>ENGINEERING CRAFT</v>
      </c>
      <c r="E101" s="95" t="str">
        <f>weights_editor!B19</f>
        <v>Technical Understanding &amp; Prioritisation</v>
      </c>
      <c r="F101" s="95" t="str">
        <f>weights_editor!C19</f>
        <v>Task prioritisation</v>
      </c>
      <c r="G101" s="88">
        <f>weights_editor!G19</f>
        <v>1.8</v>
      </c>
      <c r="H101" s="89">
        <f>weights_editor!H19</f>
        <v>0.05</v>
      </c>
      <c r="I101" s="91" t="s">
        <v>234</v>
      </c>
    </row>
    <row r="102" ht="22.5" customHeight="1">
      <c r="A102" s="80" t="str">
        <f t="shared" si="2"/>
        <v>Confirmed DeveloperENGINEERING CRAFTSoftware Architecture</v>
      </c>
      <c r="B102" s="81">
        <v>17.0</v>
      </c>
      <c r="C102" s="82" t="s">
        <v>74</v>
      </c>
      <c r="D102" s="87" t="str">
        <f>weights_editor!A20</f>
        <v>ENGINEERING CRAFT</v>
      </c>
      <c r="E102" s="95" t="str">
        <f>weights_editor!B20</f>
        <v>Software Architecture</v>
      </c>
      <c r="F102" s="95" t="str">
        <f>weights_editor!C20</f>
        <v/>
      </c>
      <c r="G102" s="88">
        <f>weights_editor!G20</f>
        <v>1.45</v>
      </c>
      <c r="H102" s="89">
        <f>weights_editor!H20</f>
        <v>0.12</v>
      </c>
      <c r="I102" s="90" t="s">
        <v>235</v>
      </c>
    </row>
    <row r="103" ht="22.5" customHeight="1">
      <c r="A103" s="80" t="str">
        <f t="shared" si="2"/>
        <v>Confirmed DeveloperENGINEERING CRAFTSoftware ArchitectureReaction to feedback</v>
      </c>
      <c r="B103" s="81">
        <v>18.0</v>
      </c>
      <c r="C103" s="82" t="s">
        <v>74</v>
      </c>
      <c r="D103" s="87" t="str">
        <f>weights_editor!A21</f>
        <v>ENGINEERING CRAFT</v>
      </c>
      <c r="E103" s="95" t="str">
        <f>weights_editor!B21</f>
        <v>Software Architecture</v>
      </c>
      <c r="F103" s="95" t="str">
        <f>weights_editor!C21</f>
        <v>Reaction to feedback</v>
      </c>
      <c r="G103" s="88">
        <f>weights_editor!G21</f>
        <v>2.5</v>
      </c>
      <c r="H103" s="89">
        <f>weights_editor!H21</f>
        <v>0.25</v>
      </c>
      <c r="I103" s="91" t="s">
        <v>167</v>
      </c>
    </row>
    <row r="104" ht="22.5" customHeight="1">
      <c r="A104" s="80" t="str">
        <f t="shared" si="2"/>
        <v>Confirmed DeveloperENGINEERING CRAFTSoftware ArchitectureCode</v>
      </c>
      <c r="B104" s="81">
        <v>19.0</v>
      </c>
      <c r="C104" s="82" t="s">
        <v>74</v>
      </c>
      <c r="D104" s="87" t="str">
        <f>weights_editor!A22</f>
        <v>ENGINEERING CRAFT</v>
      </c>
      <c r="E104" s="95" t="str">
        <f>weights_editor!B22</f>
        <v>Software Architecture</v>
      </c>
      <c r="F104" s="95" t="str">
        <f>weights_editor!C22</f>
        <v>Code</v>
      </c>
      <c r="G104" s="88">
        <f>weights_editor!G22</f>
        <v>1.8</v>
      </c>
      <c r="H104" s="89">
        <f>weights_editor!H22</f>
        <v>0.25</v>
      </c>
      <c r="I104" s="91" t="s">
        <v>167</v>
      </c>
    </row>
    <row r="105" ht="22.5" customHeight="1">
      <c r="A105" s="80" t="str">
        <f t="shared" si="2"/>
        <v>Confirmed DeveloperENGINEERING CRAFTSoftware ArchitectureDesign</v>
      </c>
      <c r="B105" s="81">
        <v>20.0</v>
      </c>
      <c r="C105" s="82" t="s">
        <v>74</v>
      </c>
      <c r="D105" s="87" t="str">
        <f>weights_editor!A23</f>
        <v>ENGINEERING CRAFT</v>
      </c>
      <c r="E105" s="95" t="str">
        <f>weights_editor!B23</f>
        <v>Software Architecture</v>
      </c>
      <c r="F105" s="95" t="str">
        <f>weights_editor!C23</f>
        <v>Design</v>
      </c>
      <c r="G105" s="88">
        <f>weights_editor!G23</f>
        <v>0.5</v>
      </c>
      <c r="H105" s="89">
        <f>weights_editor!H23</f>
        <v>0.25</v>
      </c>
      <c r="I105" s="91" t="s">
        <v>236</v>
      </c>
    </row>
    <row r="106" ht="22.5" customHeight="1">
      <c r="A106" s="80" t="str">
        <f t="shared" si="2"/>
        <v>Confirmed DeveloperENGINEERING CRAFTSoftware ArchitectureDevelopment</v>
      </c>
      <c r="B106" s="81">
        <v>21.0</v>
      </c>
      <c r="C106" s="82" t="s">
        <v>74</v>
      </c>
      <c r="D106" s="87" t="str">
        <f>weights_editor!A24</f>
        <v>ENGINEERING CRAFT</v>
      </c>
      <c r="E106" s="95" t="str">
        <f>weights_editor!B24</f>
        <v>Software Architecture</v>
      </c>
      <c r="F106" s="95" t="str">
        <f>weights_editor!C24</f>
        <v>Development</v>
      </c>
      <c r="G106" s="88">
        <f>weights_editor!G24</f>
        <v>1</v>
      </c>
      <c r="H106" s="89">
        <f>weights_editor!H24</f>
        <v>0.25</v>
      </c>
      <c r="I106" s="91" t="s">
        <v>237</v>
      </c>
    </row>
    <row r="107" ht="22.5" customHeight="1">
      <c r="A107" s="80" t="str">
        <f t="shared" si="2"/>
        <v>Confirmed DeveloperENGINEERING CRAFTSoftware ArchitectureTechnical debt</v>
      </c>
      <c r="B107" s="81">
        <v>22.0</v>
      </c>
      <c r="C107" s="82" t="s">
        <v>74</v>
      </c>
      <c r="D107" s="87" t="str">
        <f>weights_editor!A25</f>
        <v>ENGINEERING CRAFT</v>
      </c>
      <c r="E107" s="95" t="str">
        <f>weights_editor!B25</f>
        <v>Software Architecture</v>
      </c>
      <c r="F107" s="95" t="str">
        <f>weights_editor!C25</f>
        <v>Technical debt</v>
      </c>
      <c r="G107" s="88">
        <f>weights_editor!G25</f>
        <v>1.3</v>
      </c>
      <c r="H107" s="89">
        <f>weights_editor!H25</f>
        <v>0</v>
      </c>
      <c r="I107" s="91" t="s">
        <v>238</v>
      </c>
    </row>
    <row r="108" ht="22.5" customHeight="1">
      <c r="A108" s="80" t="str">
        <f t="shared" si="2"/>
        <v>Confirmed DeveloperENGINEERING CRAFTSecurity</v>
      </c>
      <c r="B108" s="81">
        <v>23.0</v>
      </c>
      <c r="C108" s="82" t="s">
        <v>74</v>
      </c>
      <c r="D108" s="87" t="str">
        <f>weights_editor!A26</f>
        <v>ENGINEERING CRAFT</v>
      </c>
      <c r="E108" s="95" t="str">
        <f>weights_editor!B26</f>
        <v>Security</v>
      </c>
      <c r="F108" s="95" t="str">
        <f>weights_editor!C26</f>
        <v/>
      </c>
      <c r="G108" s="88">
        <f>weights_editor!G26</f>
        <v>1.995</v>
      </c>
      <c r="H108" s="89">
        <f>weights_editor!H26</f>
        <v>0.1</v>
      </c>
      <c r="I108" s="90" t="s">
        <v>239</v>
      </c>
    </row>
    <row r="109" ht="22.5" customHeight="1">
      <c r="A109" s="80" t="str">
        <f t="shared" si="2"/>
        <v>Confirmed DeveloperENGINEERING CRAFTSecurityKnowledge</v>
      </c>
      <c r="B109" s="81">
        <v>24.0</v>
      </c>
      <c r="C109" s="82" t="s">
        <v>74</v>
      </c>
      <c r="D109" s="87" t="str">
        <f>weights_editor!A27</f>
        <v>ENGINEERING CRAFT</v>
      </c>
      <c r="E109" s="95" t="str">
        <f>weights_editor!B27</f>
        <v>Security</v>
      </c>
      <c r="F109" s="95" t="str">
        <f>weights_editor!C27</f>
        <v>Knowledge</v>
      </c>
      <c r="G109" s="88">
        <f>weights_editor!G27</f>
        <v>2</v>
      </c>
      <c r="H109" s="89">
        <f>weights_editor!H27</f>
        <v>0.35</v>
      </c>
      <c r="I109" s="91" t="s">
        <v>240</v>
      </c>
    </row>
    <row r="110" ht="22.5" customHeight="1">
      <c r="A110" s="80" t="str">
        <f t="shared" si="2"/>
        <v>Confirmed DeveloperENGINEERING CRAFTSecurityUser data</v>
      </c>
      <c r="B110" s="81">
        <v>25.0</v>
      </c>
      <c r="C110" s="82" t="s">
        <v>74</v>
      </c>
      <c r="D110" s="87" t="str">
        <f>weights_editor!A28</f>
        <v>ENGINEERING CRAFT</v>
      </c>
      <c r="E110" s="95" t="str">
        <f>weights_editor!B28</f>
        <v>Security</v>
      </c>
      <c r="F110" s="95" t="str">
        <f>weights_editor!C28</f>
        <v>User data</v>
      </c>
      <c r="G110" s="88">
        <f>weights_editor!G28</f>
        <v>2.3</v>
      </c>
      <c r="H110" s="89">
        <f>weights_editor!H28</f>
        <v>0.35</v>
      </c>
      <c r="I110" s="91" t="s">
        <v>241</v>
      </c>
    </row>
    <row r="111" ht="22.5" customHeight="1">
      <c r="A111" s="80" t="str">
        <f t="shared" si="2"/>
        <v>Confirmed DeveloperENGINEERING CRAFTSecurityReporting</v>
      </c>
      <c r="B111" s="81">
        <v>26.0</v>
      </c>
      <c r="C111" s="82" t="s">
        <v>74</v>
      </c>
      <c r="D111" s="87" t="str">
        <f>weights_editor!A29</f>
        <v>ENGINEERING CRAFT</v>
      </c>
      <c r="E111" s="95" t="str">
        <f>weights_editor!B29</f>
        <v>Security</v>
      </c>
      <c r="F111" s="95" t="str">
        <f>weights_editor!C29</f>
        <v>Reporting</v>
      </c>
      <c r="G111" s="88">
        <f>weights_editor!G29</f>
        <v>1.8</v>
      </c>
      <c r="H111" s="89">
        <f>weights_editor!H29</f>
        <v>0.2</v>
      </c>
      <c r="I111" s="91" t="s">
        <v>242</v>
      </c>
    </row>
    <row r="112" ht="22.5" customHeight="1">
      <c r="A112" s="80" t="str">
        <f t="shared" si="2"/>
        <v>Confirmed DeveloperENGINEERING CRAFTSecurityProactivity</v>
      </c>
      <c r="B112" s="81">
        <v>27.0</v>
      </c>
      <c r="C112" s="82" t="s">
        <v>74</v>
      </c>
      <c r="D112" s="87" t="str">
        <f>weights_editor!A30</f>
        <v>ENGINEERING CRAFT</v>
      </c>
      <c r="E112" s="95" t="str">
        <f>weights_editor!B30</f>
        <v>Security</v>
      </c>
      <c r="F112" s="95" t="str">
        <f>weights_editor!C30</f>
        <v>Proactivity</v>
      </c>
      <c r="G112" s="88">
        <f>weights_editor!G30</f>
        <v>1.3</v>
      </c>
      <c r="H112" s="89">
        <f>weights_editor!H30</f>
        <v>0.1</v>
      </c>
      <c r="I112" s="91" t="s">
        <v>167</v>
      </c>
    </row>
    <row r="113" ht="22.5" customHeight="1">
      <c r="A113" s="80" t="str">
        <f t="shared" si="2"/>
        <v>Confirmed DeveloperENGINEERING CRAFTSecurityCollaboration</v>
      </c>
      <c r="B113" s="81">
        <v>28.0</v>
      </c>
      <c r="C113" s="82" t="s">
        <v>74</v>
      </c>
      <c r="D113" s="87" t="str">
        <f>weights_editor!A31</f>
        <v>ENGINEERING CRAFT</v>
      </c>
      <c r="E113" s="95" t="str">
        <f>weights_editor!B31</f>
        <v>Security</v>
      </c>
      <c r="F113" s="95" t="str">
        <f>weights_editor!C31</f>
        <v>Collaboration</v>
      </c>
      <c r="G113" s="88">
        <f>weights_editor!G31</f>
        <v>1.6</v>
      </c>
      <c r="H113" s="89">
        <f>weights_editor!H31</f>
        <v>0</v>
      </c>
      <c r="I113" s="91" t="s">
        <v>167</v>
      </c>
    </row>
    <row r="114" ht="22.5" customHeight="1">
      <c r="A114" s="80" t="str">
        <f t="shared" si="2"/>
        <v>Confirmed DeveloperENGINEERING CRAFTSecurityStrategy</v>
      </c>
      <c r="B114" s="81">
        <v>29.0</v>
      </c>
      <c r="C114" s="82" t="s">
        <v>74</v>
      </c>
      <c r="D114" s="87" t="str">
        <f>weights_editor!A32</f>
        <v>ENGINEERING CRAFT</v>
      </c>
      <c r="E114" s="95" t="str">
        <f>weights_editor!B32</f>
        <v>Security</v>
      </c>
      <c r="F114" s="95" t="str">
        <f>weights_editor!C32</f>
        <v>Strategy</v>
      </c>
      <c r="G114" s="88">
        <f>weights_editor!G32</f>
        <v>0.5</v>
      </c>
      <c r="H114" s="89">
        <f>weights_editor!H32</f>
        <v>0</v>
      </c>
      <c r="I114" s="91" t="s">
        <v>167</v>
      </c>
    </row>
    <row r="115" ht="22.5" customHeight="1">
      <c r="A115" s="80" t="str">
        <f t="shared" si="2"/>
        <v>Confirmed DeveloperENGINEERING CRAFTDebugging &amp; Monitoring</v>
      </c>
      <c r="B115" s="81">
        <v>30.0</v>
      </c>
      <c r="C115" s="82" t="s">
        <v>74</v>
      </c>
      <c r="D115" s="87" t="str">
        <f>weights_editor!A33</f>
        <v>ENGINEERING CRAFT</v>
      </c>
      <c r="E115" s="95" t="str">
        <f>weights_editor!B33</f>
        <v>Debugging &amp; Monitoring</v>
      </c>
      <c r="F115" s="95" t="str">
        <f>weights_editor!C33</f>
        <v/>
      </c>
      <c r="G115" s="88">
        <f>weights_editor!G33</f>
        <v>1.825</v>
      </c>
      <c r="H115" s="89">
        <f>weights_editor!H33</f>
        <v>0.08</v>
      </c>
      <c r="I115" s="90" t="s">
        <v>185</v>
      </c>
    </row>
    <row r="116" ht="22.5" customHeight="1">
      <c r="A116" s="80" t="str">
        <f t="shared" si="2"/>
        <v>Confirmed DeveloperENGINEERING CRAFTDebugging &amp; MonitoringDebugging</v>
      </c>
      <c r="B116" s="81">
        <v>31.0</v>
      </c>
      <c r="C116" s="82" t="s">
        <v>74</v>
      </c>
      <c r="D116" s="87" t="str">
        <f>weights_editor!A34</f>
        <v>ENGINEERING CRAFT</v>
      </c>
      <c r="E116" s="95" t="str">
        <f>weights_editor!B34</f>
        <v>Debugging &amp; Monitoring</v>
      </c>
      <c r="F116" s="95" t="str">
        <f>weights_editor!C34</f>
        <v>Debugging</v>
      </c>
      <c r="G116" s="88">
        <f>weights_editor!G34</f>
        <v>2</v>
      </c>
      <c r="H116" s="89">
        <f>weights_editor!H34</f>
        <v>0.55</v>
      </c>
      <c r="I116" s="91" t="s">
        <v>243</v>
      </c>
    </row>
    <row r="117" ht="22.5" customHeight="1">
      <c r="A117" s="80" t="str">
        <f t="shared" si="2"/>
        <v>Confirmed DeveloperENGINEERING CRAFTDebugging &amp; MonitoringTools</v>
      </c>
      <c r="B117" s="81">
        <v>32.0</v>
      </c>
      <c r="C117" s="82" t="s">
        <v>74</v>
      </c>
      <c r="D117" s="87" t="str">
        <f>weights_editor!A35</f>
        <v>ENGINEERING CRAFT</v>
      </c>
      <c r="E117" s="95" t="str">
        <f>weights_editor!B35</f>
        <v>Debugging &amp; Monitoring</v>
      </c>
      <c r="F117" s="95" t="str">
        <f>weights_editor!C35</f>
        <v>Tools</v>
      </c>
      <c r="G117" s="88">
        <f>weights_editor!G35</f>
        <v>1.8</v>
      </c>
      <c r="H117" s="89">
        <f>weights_editor!H35</f>
        <v>0.25</v>
      </c>
      <c r="I117" s="91" t="s">
        <v>244</v>
      </c>
    </row>
    <row r="118" ht="22.5" customHeight="1">
      <c r="A118" s="80" t="str">
        <f t="shared" si="2"/>
        <v>Confirmed DeveloperENGINEERING CRAFTDebugging &amp; MonitoringPhilosophy</v>
      </c>
      <c r="B118" s="81">
        <v>33.0</v>
      </c>
      <c r="C118" s="82" t="s">
        <v>74</v>
      </c>
      <c r="D118" s="87" t="str">
        <f>weights_editor!A36</f>
        <v>ENGINEERING CRAFT</v>
      </c>
      <c r="E118" s="95" t="str">
        <f>weights_editor!B36</f>
        <v>Debugging &amp; Monitoring</v>
      </c>
      <c r="F118" s="95" t="str">
        <f>weights_editor!C36</f>
        <v>Philosophy</v>
      </c>
      <c r="G118" s="88">
        <f>weights_editor!G36</f>
        <v>1.3</v>
      </c>
      <c r="H118" s="89">
        <f>weights_editor!H36</f>
        <v>0.15</v>
      </c>
      <c r="I118" s="91" t="s">
        <v>245</v>
      </c>
    </row>
    <row r="119" ht="22.5" customHeight="1">
      <c r="A119" s="80" t="str">
        <f t="shared" si="2"/>
        <v>Confirmed DeveloperENGINEERING CRAFTDebugging &amp; MonitoringData</v>
      </c>
      <c r="B119" s="81">
        <v>34.0</v>
      </c>
      <c r="C119" s="82" t="s">
        <v>74</v>
      </c>
      <c r="D119" s="87" t="str">
        <f>weights_editor!A37</f>
        <v>ENGINEERING CRAFT</v>
      </c>
      <c r="E119" s="95" t="str">
        <f>weights_editor!B37</f>
        <v>Debugging &amp; Monitoring</v>
      </c>
      <c r="F119" s="95" t="str">
        <f>weights_editor!C37</f>
        <v>Data</v>
      </c>
      <c r="G119" s="88">
        <f>weights_editor!G37</f>
        <v>1.6</v>
      </c>
      <c r="H119" s="89">
        <f>weights_editor!H37</f>
        <v>0.05</v>
      </c>
      <c r="I119" s="91" t="s">
        <v>246</v>
      </c>
    </row>
    <row r="120" ht="22.5" customHeight="1">
      <c r="A120" s="80" t="str">
        <f t="shared" si="2"/>
        <v>Confirmed DeveloperENGINEERING CRAFTDebugging &amp; MonitoringProfiling</v>
      </c>
      <c r="B120" s="81">
        <v>35.0</v>
      </c>
      <c r="C120" s="82" t="s">
        <v>74</v>
      </c>
      <c r="D120" s="87" t="str">
        <f>weights_editor!A38</f>
        <v>ENGINEERING CRAFT</v>
      </c>
      <c r="E120" s="95" t="str">
        <f>weights_editor!B38</f>
        <v>Debugging &amp; Monitoring</v>
      </c>
      <c r="F120" s="95" t="str">
        <f>weights_editor!C38</f>
        <v>Profiling</v>
      </c>
      <c r="G120" s="88">
        <f>weights_editor!G38</f>
        <v>1.3</v>
      </c>
      <c r="H120" s="89">
        <f>weights_editor!H38</f>
        <v>0</v>
      </c>
      <c r="I120" s="91" t="s">
        <v>167</v>
      </c>
    </row>
    <row r="121" ht="22.5" customHeight="1">
      <c r="A121" s="80" t="str">
        <f t="shared" si="2"/>
        <v>Confirmed DeveloperENGINEERING CRAFTDebugging &amp; MonitoringMentoring</v>
      </c>
      <c r="B121" s="81">
        <v>36.0</v>
      </c>
      <c r="C121" s="82" t="s">
        <v>74</v>
      </c>
      <c r="D121" s="87" t="str">
        <f>weights_editor!A39</f>
        <v>ENGINEERING CRAFT</v>
      </c>
      <c r="E121" s="95" t="str">
        <f>weights_editor!B39</f>
        <v>Debugging &amp; Monitoring</v>
      </c>
      <c r="F121" s="95" t="str">
        <f>weights_editor!C39</f>
        <v>Mentoring</v>
      </c>
      <c r="G121" s="88">
        <f>weights_editor!G39</f>
        <v>0</v>
      </c>
      <c r="H121" s="89">
        <f>weights_editor!H39</f>
        <v>0</v>
      </c>
      <c r="I121" s="91" t="s">
        <v>167</v>
      </c>
    </row>
    <row r="122" ht="22.5" customHeight="1">
      <c r="A122" s="80" t="str">
        <f t="shared" si="2"/>
        <v>Confirmed DeveloperSOFT SKILLS</v>
      </c>
      <c r="B122" s="81">
        <v>37.0</v>
      </c>
      <c r="C122" s="82" t="s">
        <v>74</v>
      </c>
      <c r="D122" s="93" t="str">
        <f>weights_editor!A41</f>
        <v>SOFT SKILLS</v>
      </c>
      <c r="E122" s="94" t="str">
        <f>weights_editor!B41</f>
        <v/>
      </c>
      <c r="F122" s="94" t="str">
        <f>weights_editor!C41</f>
        <v/>
      </c>
      <c r="G122" s="84">
        <f>weights_editor!G41</f>
        <v>1.7285</v>
      </c>
      <c r="H122" s="85">
        <f>weights_editor!H41</f>
        <v>0.3</v>
      </c>
      <c r="I122" s="92"/>
    </row>
    <row r="123" ht="22.5" customHeight="1">
      <c r="A123" s="80" t="str">
        <f t="shared" si="2"/>
        <v>Confirmed DeveloperSOFT SKILLSEmpathy &amp; Humility</v>
      </c>
      <c r="B123" s="81">
        <v>38.0</v>
      </c>
      <c r="C123" s="82" t="s">
        <v>74</v>
      </c>
      <c r="D123" s="87" t="str">
        <f>weights_editor!A42</f>
        <v>SOFT SKILLS</v>
      </c>
      <c r="E123" s="95" t="str">
        <f>weights_editor!B42</f>
        <v>Empathy &amp; Humility</v>
      </c>
      <c r="F123" s="95" t="str">
        <f>weights_editor!C42</f>
        <v/>
      </c>
      <c r="G123" s="88">
        <f>weights_editor!G42</f>
        <v>1.53</v>
      </c>
      <c r="H123" s="89">
        <f>weights_editor!H42</f>
        <v>0.4</v>
      </c>
      <c r="I123" s="90" t="s">
        <v>189</v>
      </c>
    </row>
    <row r="124" ht="22.5" customHeight="1">
      <c r="A124" s="80" t="str">
        <f t="shared" si="2"/>
        <v>Confirmed DeveloperSOFT SKILLSEmpathy &amp; HumilityCredit and blame</v>
      </c>
      <c r="B124" s="81">
        <v>39.0</v>
      </c>
      <c r="C124" s="82" t="s">
        <v>74</v>
      </c>
      <c r="D124" s="87" t="str">
        <f>weights_editor!A43</f>
        <v>SOFT SKILLS</v>
      </c>
      <c r="E124" s="95" t="str">
        <f>weights_editor!B43</f>
        <v>Empathy &amp; Humility</v>
      </c>
      <c r="F124" s="95" t="str">
        <f>weights_editor!C43</f>
        <v>Credit and blame</v>
      </c>
      <c r="G124" s="88">
        <f>weights_editor!G43</f>
        <v>1.8</v>
      </c>
      <c r="H124" s="89">
        <f>weights_editor!H43</f>
        <v>0.3</v>
      </c>
      <c r="I124" s="91" t="s">
        <v>190</v>
      </c>
    </row>
    <row r="125" ht="22.5" customHeight="1">
      <c r="A125" s="80" t="str">
        <f t="shared" si="2"/>
        <v>Confirmed DeveloperSOFT SKILLSEmpathy &amp; HumilityUnderstanding others</v>
      </c>
      <c r="B125" s="81">
        <v>40.0</v>
      </c>
      <c r="C125" s="82" t="s">
        <v>74</v>
      </c>
      <c r="D125" s="87" t="str">
        <f>weights_editor!A44</f>
        <v>SOFT SKILLS</v>
      </c>
      <c r="E125" s="95" t="str">
        <f>weights_editor!B44</f>
        <v>Empathy &amp; Humility</v>
      </c>
      <c r="F125" s="95" t="str">
        <f>weights_editor!C44</f>
        <v>Understanding others</v>
      </c>
      <c r="G125" s="88">
        <f>weights_editor!G44</f>
        <v>2.1</v>
      </c>
      <c r="H125" s="89">
        <f>weights_editor!H44</f>
        <v>0.3</v>
      </c>
      <c r="I125" s="91" t="s">
        <v>191</v>
      </c>
    </row>
    <row r="126" ht="22.5" customHeight="1">
      <c r="A126" s="80" t="str">
        <f t="shared" si="2"/>
        <v>Confirmed DeveloperSOFT SKILLSEmpathy &amp; HumilityMediation and facilitation</v>
      </c>
      <c r="B126" s="81">
        <v>41.0</v>
      </c>
      <c r="C126" s="82" t="s">
        <v>74</v>
      </c>
      <c r="D126" s="87" t="str">
        <f>weights_editor!A45</f>
        <v>SOFT SKILLS</v>
      </c>
      <c r="E126" s="95" t="str">
        <f>weights_editor!B45</f>
        <v>Empathy &amp; Humility</v>
      </c>
      <c r="F126" s="95" t="str">
        <f>weights_editor!C45</f>
        <v>Mediation and facilitation</v>
      </c>
      <c r="G126" s="88">
        <f>weights_editor!G45</f>
        <v>1.3</v>
      </c>
      <c r="H126" s="89">
        <f>weights_editor!H45</f>
        <v>0.2</v>
      </c>
      <c r="I126" s="91" t="s">
        <v>192</v>
      </c>
    </row>
    <row r="127" ht="22.5" customHeight="1">
      <c r="A127" s="80" t="str">
        <f t="shared" si="2"/>
        <v>Confirmed DeveloperSOFT SKILLSEmpathy &amp; HumilityMentoring</v>
      </c>
      <c r="B127" s="81">
        <v>42.0</v>
      </c>
      <c r="C127" s="82" t="s">
        <v>74</v>
      </c>
      <c r="D127" s="87" t="str">
        <f>weights_editor!A46</f>
        <v>SOFT SKILLS</v>
      </c>
      <c r="E127" s="95" t="str">
        <f>weights_editor!B46</f>
        <v>Empathy &amp; Humility</v>
      </c>
      <c r="F127" s="95" t="str">
        <f>weights_editor!C46</f>
        <v>Mentoring</v>
      </c>
      <c r="G127" s="88">
        <f>weights_editor!G46</f>
        <v>0.5</v>
      </c>
      <c r="H127" s="89">
        <f>weights_editor!H46</f>
        <v>0.2</v>
      </c>
      <c r="I127" s="91" t="s">
        <v>193</v>
      </c>
    </row>
    <row r="128" ht="22.5" customHeight="1">
      <c r="A128" s="80" t="str">
        <f t="shared" si="2"/>
        <v>Confirmed DeveloperSOFT SKILLSCommunication</v>
      </c>
      <c r="B128" s="81">
        <v>43.0</v>
      </c>
      <c r="C128" s="82" t="s">
        <v>74</v>
      </c>
      <c r="D128" s="87" t="str">
        <f>weights_editor!A47</f>
        <v>SOFT SKILLS</v>
      </c>
      <c r="E128" s="95" t="str">
        <f>weights_editor!B47</f>
        <v>Communication</v>
      </c>
      <c r="F128" s="95" t="str">
        <f>weights_editor!C47</f>
        <v/>
      </c>
      <c r="G128" s="88">
        <f>weights_editor!G47</f>
        <v>1.6</v>
      </c>
      <c r="H128" s="89">
        <f>weights_editor!H47</f>
        <v>0.25</v>
      </c>
      <c r="I128" s="90" t="s">
        <v>194</v>
      </c>
    </row>
    <row r="129" ht="22.5" customHeight="1">
      <c r="A129" s="80" t="str">
        <f t="shared" si="2"/>
        <v>Confirmed DeveloperSOFT SKILLSCommunicationKeeping people informed</v>
      </c>
      <c r="B129" s="81">
        <v>44.0</v>
      </c>
      <c r="C129" s="82" t="s">
        <v>74</v>
      </c>
      <c r="D129" s="87" t="str">
        <f>weights_editor!A48</f>
        <v>SOFT SKILLS</v>
      </c>
      <c r="E129" s="95" t="str">
        <f>weights_editor!B48</f>
        <v>Communication</v>
      </c>
      <c r="F129" s="95" t="str">
        <f>weights_editor!C48</f>
        <v>Keeping people informed</v>
      </c>
      <c r="G129" s="88">
        <f>weights_editor!G48</f>
        <v>1.6</v>
      </c>
      <c r="H129" s="89">
        <f>weights_editor!H48</f>
        <v>0.5</v>
      </c>
      <c r="I129" s="91" t="s">
        <v>195</v>
      </c>
    </row>
    <row r="130" ht="22.5" customHeight="1">
      <c r="A130" s="80" t="str">
        <f t="shared" si="2"/>
        <v>Confirmed DeveloperSOFT SKILLSCommunicationLooking for feedback</v>
      </c>
      <c r="B130" s="81">
        <v>45.0</v>
      </c>
      <c r="C130" s="82" t="s">
        <v>74</v>
      </c>
      <c r="D130" s="87" t="str">
        <f>weights_editor!A49</f>
        <v>SOFT SKILLS</v>
      </c>
      <c r="E130" s="95" t="str">
        <f>weights_editor!B49</f>
        <v>Communication</v>
      </c>
      <c r="F130" s="95" t="str">
        <f>weights_editor!C49</f>
        <v>Looking for feedback</v>
      </c>
      <c r="G130" s="88">
        <f>weights_editor!G49</f>
        <v>2.4</v>
      </c>
      <c r="H130" s="89">
        <f>weights_editor!H49</f>
        <v>0.25</v>
      </c>
      <c r="I130" s="91" t="s">
        <v>196</v>
      </c>
    </row>
    <row r="131" ht="22.5" customHeight="1">
      <c r="A131" s="80" t="str">
        <f t="shared" si="2"/>
        <v>Confirmed DeveloperSOFT SKILLSCommunicationDelivering bad news</v>
      </c>
      <c r="B131" s="81">
        <v>46.0</v>
      </c>
      <c r="C131" s="82" t="s">
        <v>74</v>
      </c>
      <c r="D131" s="87" t="str">
        <f>weights_editor!A50</f>
        <v>SOFT SKILLS</v>
      </c>
      <c r="E131" s="95" t="str">
        <f>weights_editor!B50</f>
        <v>Communication</v>
      </c>
      <c r="F131" s="95" t="str">
        <f>weights_editor!C50</f>
        <v>Delivering bad news</v>
      </c>
      <c r="G131" s="88">
        <f>weights_editor!G50</f>
        <v>1</v>
      </c>
      <c r="H131" s="89">
        <f>weights_editor!H50</f>
        <v>0.15</v>
      </c>
      <c r="I131" s="91" t="s">
        <v>197</v>
      </c>
    </row>
    <row r="132" ht="22.5" customHeight="1">
      <c r="A132" s="80" t="str">
        <f t="shared" si="2"/>
        <v>Confirmed DeveloperSOFT SKILLSCommunicationMentoring communicators</v>
      </c>
      <c r="B132" s="81">
        <v>47.0</v>
      </c>
      <c r="C132" s="82" t="s">
        <v>74</v>
      </c>
      <c r="D132" s="87" t="str">
        <f>weights_editor!A51</f>
        <v>SOFT SKILLS</v>
      </c>
      <c r="E132" s="95" t="str">
        <f>weights_editor!B51</f>
        <v>Communication</v>
      </c>
      <c r="F132" s="95" t="str">
        <f>weights_editor!C51</f>
        <v>Mentoring communicators</v>
      </c>
      <c r="G132" s="88">
        <f>weights_editor!G51</f>
        <v>0.5</v>
      </c>
      <c r="H132" s="89">
        <f>weights_editor!H51</f>
        <v>0.1</v>
      </c>
      <c r="I132" s="91" t="s">
        <v>198</v>
      </c>
    </row>
    <row r="133" ht="22.5" customHeight="1">
      <c r="A133" s="80" t="str">
        <f t="shared" si="2"/>
        <v>Confirmed DeveloperSOFT SKILLSInitiative</v>
      </c>
      <c r="B133" s="81">
        <v>48.0</v>
      </c>
      <c r="C133" s="82" t="s">
        <v>74</v>
      </c>
      <c r="D133" s="87" t="str">
        <f>weights_editor!A52</f>
        <v>SOFT SKILLS</v>
      </c>
      <c r="E133" s="95" t="str">
        <f>weights_editor!B52</f>
        <v>Initiative</v>
      </c>
      <c r="F133" s="95" t="str">
        <f>weights_editor!C52</f>
        <v/>
      </c>
      <c r="G133" s="88">
        <f>weights_editor!G52</f>
        <v>2.15</v>
      </c>
      <c r="H133" s="89">
        <f>weights_editor!H52</f>
        <v>0.2</v>
      </c>
      <c r="I133" s="90" t="s">
        <v>247</v>
      </c>
    </row>
    <row r="134" ht="22.5" customHeight="1">
      <c r="A134" s="80" t="str">
        <f t="shared" si="2"/>
        <v>Confirmed DeveloperSOFT SKILLSInitiativeCan-do attitude</v>
      </c>
      <c r="B134" s="81">
        <v>49.0</v>
      </c>
      <c r="C134" s="82" t="s">
        <v>74</v>
      </c>
      <c r="D134" s="87" t="str">
        <f>weights_editor!A53</f>
        <v>SOFT SKILLS</v>
      </c>
      <c r="E134" s="95" t="str">
        <f>weights_editor!B53</f>
        <v>Initiative</v>
      </c>
      <c r="F134" s="95" t="str">
        <f>weights_editor!C53</f>
        <v>Can-do attitude</v>
      </c>
      <c r="G134" s="88">
        <f>weights_editor!G53</f>
        <v>2.4</v>
      </c>
      <c r="H134" s="89">
        <f>weights_editor!H53</f>
        <v>0.55</v>
      </c>
      <c r="I134" s="91" t="s">
        <v>248</v>
      </c>
    </row>
    <row r="135" ht="22.5" customHeight="1">
      <c r="A135" s="80" t="str">
        <f t="shared" si="2"/>
        <v>Confirmed DeveloperSOFT SKILLSInitiativePro-activity in seeking help</v>
      </c>
      <c r="B135" s="81">
        <v>50.0</v>
      </c>
      <c r="C135" s="82" t="s">
        <v>74</v>
      </c>
      <c r="D135" s="87" t="str">
        <f>weights_editor!A54</f>
        <v>SOFT SKILLS</v>
      </c>
      <c r="E135" s="95" t="str">
        <f>weights_editor!B54</f>
        <v>Initiative</v>
      </c>
      <c r="F135" s="95" t="str">
        <f>weights_editor!C54</f>
        <v>Pro-activity in seeking help</v>
      </c>
      <c r="G135" s="88">
        <f>weights_editor!G54</f>
        <v>2.2</v>
      </c>
      <c r="H135" s="89">
        <f>weights_editor!H54</f>
        <v>0.25</v>
      </c>
      <c r="I135" s="91" t="s">
        <v>249</v>
      </c>
    </row>
    <row r="136" ht="22.5" customHeight="1">
      <c r="A136" s="80" t="str">
        <f t="shared" si="2"/>
        <v>Confirmed DeveloperSOFT SKILLSInitiativeFollow through</v>
      </c>
      <c r="B136" s="81">
        <v>51.0</v>
      </c>
      <c r="C136" s="82" t="s">
        <v>74</v>
      </c>
      <c r="D136" s="87" t="str">
        <f>weights_editor!A55</f>
        <v>SOFT SKILLS</v>
      </c>
      <c r="E136" s="95" t="str">
        <f>weights_editor!B55</f>
        <v>Initiative</v>
      </c>
      <c r="F136" s="95" t="str">
        <f>weights_editor!C55</f>
        <v>Follow through</v>
      </c>
      <c r="G136" s="88">
        <f>weights_editor!G55</f>
        <v>1.4</v>
      </c>
      <c r="H136" s="89">
        <f>weights_editor!H55</f>
        <v>0.2</v>
      </c>
      <c r="I136" s="91" t="s">
        <v>250</v>
      </c>
    </row>
    <row r="137" ht="22.5" customHeight="1">
      <c r="A137" s="80" t="str">
        <f t="shared" si="2"/>
        <v>Confirmed DeveloperSOFT SKILLSObjectivity &amp; Adaptability</v>
      </c>
      <c r="B137" s="81">
        <v>52.0</v>
      </c>
      <c r="C137" s="82" t="s">
        <v>74</v>
      </c>
      <c r="D137" s="87" t="str">
        <f>weights_editor!A56</f>
        <v>SOFT SKILLS</v>
      </c>
      <c r="E137" s="95" t="str">
        <f>weights_editor!B56</f>
        <v>Objectivity &amp; Adaptability</v>
      </c>
      <c r="F137" s="95" t="str">
        <f>weights_editor!C56</f>
        <v/>
      </c>
      <c r="G137" s="88">
        <f>weights_editor!G56</f>
        <v>2.165</v>
      </c>
      <c r="H137" s="89">
        <f>weights_editor!H56</f>
        <v>0.1</v>
      </c>
      <c r="I137" s="90" t="s">
        <v>251</v>
      </c>
    </row>
    <row r="138" ht="22.5" customHeight="1">
      <c r="A138" s="80" t="str">
        <f t="shared" si="2"/>
        <v>Confirmed DeveloperSOFT SKILLSObjectivity &amp; AdaptabilityEfficient decision-making</v>
      </c>
      <c r="B138" s="81">
        <v>53.0</v>
      </c>
      <c r="C138" s="82" t="s">
        <v>74</v>
      </c>
      <c r="D138" s="87" t="str">
        <f>weights_editor!A57</f>
        <v>SOFT SKILLS</v>
      </c>
      <c r="E138" s="95" t="str">
        <f>weights_editor!B57</f>
        <v>Objectivity &amp; Adaptability</v>
      </c>
      <c r="F138" s="95" t="str">
        <f>weights_editor!C57</f>
        <v>Efficient decision-making</v>
      </c>
      <c r="G138" s="88">
        <f>weights_editor!G57</f>
        <v>1.8</v>
      </c>
      <c r="H138" s="89">
        <f>weights_editor!H57</f>
        <v>0.5</v>
      </c>
      <c r="I138" s="91" t="s">
        <v>252</v>
      </c>
    </row>
    <row r="139" ht="22.5" customHeight="1">
      <c r="A139" s="80" t="str">
        <f t="shared" si="2"/>
        <v>Confirmed DeveloperSOFT SKILLSObjectivity &amp; AdaptabilitySelf improvement</v>
      </c>
      <c r="B139" s="81">
        <v>54.0</v>
      </c>
      <c r="C139" s="82" t="s">
        <v>74</v>
      </c>
      <c r="D139" s="87" t="str">
        <f>weights_editor!A58</f>
        <v>SOFT SKILLS</v>
      </c>
      <c r="E139" s="95" t="str">
        <f>weights_editor!B58</f>
        <v>Objectivity &amp; Adaptability</v>
      </c>
      <c r="F139" s="95" t="str">
        <f>weights_editor!C58</f>
        <v>Self improvement</v>
      </c>
      <c r="G139" s="88">
        <f>weights_editor!G58</f>
        <v>3</v>
      </c>
      <c r="H139" s="89">
        <f>weights_editor!H58</f>
        <v>0.25</v>
      </c>
      <c r="I139" s="91" t="s">
        <v>253</v>
      </c>
    </row>
    <row r="140" ht="22.5" customHeight="1">
      <c r="A140" s="80" t="str">
        <f t="shared" si="2"/>
        <v>Confirmed DeveloperSOFT SKILLSObjectivity &amp; AdaptabilityObjectivity</v>
      </c>
      <c r="B140" s="81">
        <v>55.0</v>
      </c>
      <c r="C140" s="82" t="s">
        <v>74</v>
      </c>
      <c r="D140" s="87" t="str">
        <f>weights_editor!A59</f>
        <v>SOFT SKILLS</v>
      </c>
      <c r="E140" s="95" t="str">
        <f>weights_editor!B59</f>
        <v>Objectivity &amp; Adaptability</v>
      </c>
      <c r="F140" s="95" t="str">
        <f>weights_editor!C59</f>
        <v>Objectivity</v>
      </c>
      <c r="G140" s="88">
        <f>weights_editor!G59</f>
        <v>2.1</v>
      </c>
      <c r="H140" s="89">
        <f>weights_editor!H59</f>
        <v>0.2</v>
      </c>
      <c r="I140" s="91" t="s">
        <v>254</v>
      </c>
    </row>
    <row r="141" ht="22.5" customHeight="1">
      <c r="A141" s="80" t="str">
        <f t="shared" si="2"/>
        <v>Confirmed DeveloperSOFT SKILLSObjectivity &amp; AdaptabilityTime management</v>
      </c>
      <c r="B141" s="81">
        <v>56.0</v>
      </c>
      <c r="C141" s="82" t="s">
        <v>74</v>
      </c>
      <c r="D141" s="87" t="str">
        <f>weights_editor!A60</f>
        <v>SOFT SKILLS</v>
      </c>
      <c r="E141" s="95" t="str">
        <f>weights_editor!B60</f>
        <v>Objectivity &amp; Adaptability</v>
      </c>
      <c r="F141" s="95" t="str">
        <f>weights_editor!C60</f>
        <v>Time management</v>
      </c>
      <c r="G141" s="88">
        <f>weights_editor!G60</f>
        <v>1.9</v>
      </c>
      <c r="H141" s="89">
        <f>weights_editor!H60</f>
        <v>0.05</v>
      </c>
      <c r="I141" s="91" t="s">
        <v>255</v>
      </c>
    </row>
    <row r="142" ht="22.5" customHeight="1">
      <c r="A142" s="80" t="str">
        <f t="shared" si="2"/>
        <v>Confirmed DeveloperSOFT SKILLSBusiness Acumen</v>
      </c>
      <c r="B142" s="81">
        <v>57.0</v>
      </c>
      <c r="C142" s="82" t="s">
        <v>74</v>
      </c>
      <c r="D142" s="87" t="str">
        <f>weights_editor!A61</f>
        <v>SOFT SKILLS</v>
      </c>
      <c r="E142" s="95" t="str">
        <f>weights_editor!B61</f>
        <v>Business Acumen</v>
      </c>
      <c r="F142" s="95" t="str">
        <f>weights_editor!C61</f>
        <v/>
      </c>
      <c r="G142" s="88">
        <f>weights_editor!G61</f>
        <v>1.4</v>
      </c>
      <c r="H142" s="89">
        <f>weights_editor!H61</f>
        <v>0.05</v>
      </c>
      <c r="I142" s="90"/>
    </row>
    <row r="143" ht="22.5" customHeight="1">
      <c r="A143" s="80" t="str">
        <f t="shared" si="2"/>
        <v>Confirmed DeveloperSOFT SKILLSBusiness AcumenUnderstanding level</v>
      </c>
      <c r="B143" s="81">
        <v>58.0</v>
      </c>
      <c r="C143" s="82" t="s">
        <v>74</v>
      </c>
      <c r="D143" s="87" t="str">
        <f>weights_editor!A62</f>
        <v>SOFT SKILLS</v>
      </c>
      <c r="E143" s="95" t="str">
        <f>weights_editor!B62</f>
        <v>Business Acumen</v>
      </c>
      <c r="F143" s="95" t="str">
        <f>weights_editor!C62</f>
        <v>Understanding level</v>
      </c>
      <c r="G143" s="88">
        <f>weights_editor!G62</f>
        <v>1.4</v>
      </c>
      <c r="H143" s="89">
        <f>weights_editor!H62</f>
        <v>1</v>
      </c>
      <c r="I143" s="91" t="s">
        <v>256</v>
      </c>
    </row>
    <row r="144" ht="22.5" customHeight="1">
      <c r="A144" s="80" t="str">
        <f t="shared" si="2"/>
        <v>Confirmed DeveloperLEADERSHIP</v>
      </c>
      <c r="B144" s="81">
        <v>59.0</v>
      </c>
      <c r="C144" s="82" t="s">
        <v>74</v>
      </c>
      <c r="D144" s="93" t="str">
        <f>weights_editor!A64</f>
        <v>LEADERSHIP</v>
      </c>
      <c r="E144" s="94" t="str">
        <f>weights_editor!B64</f>
        <v/>
      </c>
      <c r="F144" s="94" t="str">
        <f>weights_editor!C64</f>
        <v/>
      </c>
      <c r="G144" s="84">
        <f>weights_editor!G64</f>
        <v>0.933</v>
      </c>
      <c r="H144" s="85">
        <f>weights_editor!H64</f>
        <v>0.05</v>
      </c>
      <c r="I144" s="92"/>
    </row>
    <row r="145" ht="22.5" customHeight="1">
      <c r="A145" s="80" t="str">
        <f t="shared" si="2"/>
        <v>Confirmed DeveloperLEADERSHIPHiring and Org Design</v>
      </c>
      <c r="B145" s="81">
        <v>60.0</v>
      </c>
      <c r="C145" s="82" t="s">
        <v>74</v>
      </c>
      <c r="D145" s="87" t="str">
        <f>weights_editor!A65</f>
        <v>LEADERSHIP</v>
      </c>
      <c r="E145" s="94" t="str">
        <f>weights_editor!B65</f>
        <v>Hiring and Org Design</v>
      </c>
      <c r="F145" s="94" t="str">
        <f>weights_editor!C65</f>
        <v/>
      </c>
      <c r="G145" s="88">
        <f>weights_editor!G65</f>
        <v>0.2</v>
      </c>
      <c r="H145" s="89">
        <f>weights_editor!H65</f>
        <v>0.2</v>
      </c>
      <c r="I145" s="90" t="s">
        <v>209</v>
      </c>
    </row>
    <row r="146" ht="22.5" customHeight="1">
      <c r="A146" s="80" t="str">
        <f t="shared" si="2"/>
        <v>Confirmed DeveloperLEADERSHIPHiring and Org DesignDeploying Teams</v>
      </c>
      <c r="B146" s="81">
        <v>61.0</v>
      </c>
      <c r="C146" s="82" t="s">
        <v>74</v>
      </c>
      <c r="D146" s="87" t="str">
        <f>weights_editor!A66</f>
        <v>LEADERSHIP</v>
      </c>
      <c r="E146" s="94" t="str">
        <f>weights_editor!B66</f>
        <v>Hiring and Org Design</v>
      </c>
      <c r="F146" s="94" t="str">
        <f>weights_editor!C66</f>
        <v>Deploying Teams</v>
      </c>
      <c r="G146" s="88">
        <f>weights_editor!G66</f>
        <v>0</v>
      </c>
      <c r="H146" s="89">
        <f>weights_editor!H66</f>
        <v>0.4</v>
      </c>
      <c r="I146" s="91" t="s">
        <v>257</v>
      </c>
    </row>
    <row r="147" ht="22.5" customHeight="1">
      <c r="A147" s="80" t="str">
        <f t="shared" si="2"/>
        <v>Confirmed DeveloperLEADERSHIPHiring and Org DesignEmployer Brand</v>
      </c>
      <c r="B147" s="81">
        <v>62.0</v>
      </c>
      <c r="C147" s="82" t="s">
        <v>74</v>
      </c>
      <c r="D147" s="87" t="str">
        <f>weights_editor!A67</f>
        <v>LEADERSHIP</v>
      </c>
      <c r="E147" s="94" t="str">
        <f>weights_editor!B67</f>
        <v>Hiring and Org Design</v>
      </c>
      <c r="F147" s="94" t="str">
        <f>weights_editor!C67</f>
        <v>Employer Brand</v>
      </c>
      <c r="G147" s="88">
        <f>weights_editor!G67</f>
        <v>0.5</v>
      </c>
      <c r="H147" s="89">
        <f>weights_editor!H67</f>
        <v>0.4</v>
      </c>
      <c r="I147" s="91" t="s">
        <v>258</v>
      </c>
    </row>
    <row r="148" ht="22.5" customHeight="1">
      <c r="A148" s="80" t="str">
        <f t="shared" si="2"/>
        <v>Confirmed DeveloperLEADERSHIPHiring and Org DesignHiring</v>
      </c>
      <c r="B148" s="81">
        <v>63.0</v>
      </c>
      <c r="C148" s="82" t="s">
        <v>74</v>
      </c>
      <c r="D148" s="87" t="str">
        <f>weights_editor!A68</f>
        <v>LEADERSHIP</v>
      </c>
      <c r="E148" s="94" t="str">
        <f>weights_editor!B68</f>
        <v>Hiring and Org Design</v>
      </c>
      <c r="F148" s="94" t="str">
        <f>weights_editor!C68</f>
        <v>Hiring</v>
      </c>
      <c r="G148" s="88">
        <f>weights_editor!G68</f>
        <v>0</v>
      </c>
      <c r="H148" s="89">
        <f>weights_editor!H68</f>
        <v>0.2</v>
      </c>
      <c r="I148" s="91" t="s">
        <v>259</v>
      </c>
    </row>
    <row r="149" ht="22.5" customHeight="1">
      <c r="A149" s="80" t="str">
        <f t="shared" si="2"/>
        <v>Confirmed DeveloperLEADERSHIPStakeholder Management</v>
      </c>
      <c r="B149" s="81">
        <v>64.0</v>
      </c>
      <c r="C149" s="82" t="s">
        <v>74</v>
      </c>
      <c r="D149" s="87" t="str">
        <f>weights_editor!A69</f>
        <v>LEADERSHIP</v>
      </c>
      <c r="E149" s="94" t="str">
        <f>weights_editor!B69</f>
        <v>Stakeholder Management</v>
      </c>
      <c r="F149" s="94" t="str">
        <f>weights_editor!C69</f>
        <v/>
      </c>
      <c r="G149" s="88">
        <f>weights_editor!G69</f>
        <v>1.35</v>
      </c>
      <c r="H149" s="89">
        <f>weights_editor!H69</f>
        <v>0.3</v>
      </c>
      <c r="I149" s="90" t="s">
        <v>260</v>
      </c>
    </row>
    <row r="150" ht="22.5" customHeight="1">
      <c r="A150" s="80" t="str">
        <f t="shared" si="2"/>
        <v>Confirmed DeveloperLEADERSHIPStakeholder ManagementManaging Goals and Expectations</v>
      </c>
      <c r="B150" s="81">
        <v>65.0</v>
      </c>
      <c r="C150" s="82" t="s">
        <v>74</v>
      </c>
      <c r="D150" s="87" t="str">
        <f>weights_editor!A70</f>
        <v>LEADERSHIP</v>
      </c>
      <c r="E150" s="94" t="str">
        <f>weights_editor!B70</f>
        <v>Stakeholder Management</v>
      </c>
      <c r="F150" s="94" t="str">
        <f>weights_editor!C70</f>
        <v>Managing Goals and Expectations</v>
      </c>
      <c r="G150" s="88">
        <f>weights_editor!G70</f>
        <v>1.1</v>
      </c>
      <c r="H150" s="89">
        <f>weights_editor!H70</f>
        <v>0.4</v>
      </c>
      <c r="I150" s="91" t="s">
        <v>261</v>
      </c>
    </row>
    <row r="151" ht="22.5" customHeight="1">
      <c r="A151" s="80" t="str">
        <f t="shared" si="2"/>
        <v>Confirmed DeveloperLEADERSHIPStakeholder ManagementForesight</v>
      </c>
      <c r="B151" s="81">
        <v>66.0</v>
      </c>
      <c r="C151" s="82" t="s">
        <v>74</v>
      </c>
      <c r="D151" s="87" t="str">
        <f>weights_editor!A71</f>
        <v>LEADERSHIP</v>
      </c>
      <c r="E151" s="94" t="str">
        <f>weights_editor!B71</f>
        <v>Stakeholder Management</v>
      </c>
      <c r="F151" s="94" t="str">
        <f>weights_editor!C71</f>
        <v>Foresight</v>
      </c>
      <c r="G151" s="88">
        <f>weights_editor!G71</f>
        <v>1.4</v>
      </c>
      <c r="H151" s="89">
        <f>weights_editor!H71</f>
        <v>0.3</v>
      </c>
      <c r="I151" s="91" t="s">
        <v>262</v>
      </c>
    </row>
    <row r="152" ht="22.5" customHeight="1">
      <c r="A152" s="80" t="str">
        <f t="shared" si="2"/>
        <v>Confirmed DeveloperLEADERSHIPStakeholder ManagementEngendering Trust</v>
      </c>
      <c r="B152" s="81">
        <v>67.0</v>
      </c>
      <c r="C152" s="82" t="s">
        <v>74</v>
      </c>
      <c r="D152" s="87" t="str">
        <f>weights_editor!A72</f>
        <v>LEADERSHIP</v>
      </c>
      <c r="E152" s="94" t="str">
        <f>weights_editor!B72</f>
        <v>Stakeholder Management</v>
      </c>
      <c r="F152" s="94" t="str">
        <f>weights_editor!C72</f>
        <v>Engendering Trust</v>
      </c>
      <c r="G152" s="88">
        <f>weights_editor!G72</f>
        <v>1.8</v>
      </c>
      <c r="H152" s="89">
        <f>weights_editor!H72</f>
        <v>0.2</v>
      </c>
      <c r="I152" s="91" t="s">
        <v>263</v>
      </c>
    </row>
    <row r="153" ht="22.5" customHeight="1">
      <c r="A153" s="80" t="str">
        <f t="shared" si="2"/>
        <v>Confirmed DeveloperLEADERSHIPStakeholder ManagementProtecting the Team</v>
      </c>
      <c r="B153" s="81">
        <v>68.0</v>
      </c>
      <c r="C153" s="82" t="s">
        <v>74</v>
      </c>
      <c r="D153" s="87" t="str">
        <f>weights_editor!A73</f>
        <v>LEADERSHIP</v>
      </c>
      <c r="E153" s="94" t="str">
        <f>weights_editor!B73</f>
        <v>Stakeholder Management</v>
      </c>
      <c r="F153" s="94" t="str">
        <f>weights_editor!C73</f>
        <v>Protecting the Team</v>
      </c>
      <c r="G153" s="88">
        <f>weights_editor!G73</f>
        <v>1.3</v>
      </c>
      <c r="H153" s="89">
        <f>weights_editor!H73</f>
        <v>0.1</v>
      </c>
      <c r="I153" s="91" t="s">
        <v>264</v>
      </c>
    </row>
    <row r="154" ht="22.5" customHeight="1">
      <c r="A154" s="80" t="str">
        <f t="shared" si="2"/>
        <v>Confirmed DeveloperLEADERSHIPTeam Leadership</v>
      </c>
      <c r="B154" s="81">
        <v>69.0</v>
      </c>
      <c r="C154" s="82" t="s">
        <v>74</v>
      </c>
      <c r="D154" s="87" t="str">
        <f>weights_editor!A74</f>
        <v>LEADERSHIP</v>
      </c>
      <c r="E154" s="94" t="str">
        <f>weights_editor!B74</f>
        <v>Team Leadership</v>
      </c>
      <c r="F154" s="94" t="str">
        <f>weights_editor!C74</f>
        <v/>
      </c>
      <c r="G154" s="88">
        <f>weights_editor!G74</f>
        <v>1.22</v>
      </c>
      <c r="H154" s="89">
        <f>weights_editor!H74</f>
        <v>0.2</v>
      </c>
      <c r="I154" s="90" t="s">
        <v>215</v>
      </c>
    </row>
    <row r="155" ht="22.5" customHeight="1">
      <c r="A155" s="80" t="str">
        <f t="shared" si="2"/>
        <v>Confirmed DeveloperLEADERSHIPTeam LeadershipPutting the Team first</v>
      </c>
      <c r="B155" s="81">
        <v>70.0</v>
      </c>
      <c r="C155" s="82" t="s">
        <v>74</v>
      </c>
      <c r="D155" s="87" t="str">
        <f>weights_editor!A75</f>
        <v>LEADERSHIP</v>
      </c>
      <c r="E155" s="94" t="str">
        <f>weights_editor!B75</f>
        <v>Team Leadership</v>
      </c>
      <c r="F155" s="94" t="str">
        <f>weights_editor!C75</f>
        <v>Putting the Team first</v>
      </c>
      <c r="G155" s="88">
        <f>weights_editor!G75</f>
        <v>1.5</v>
      </c>
      <c r="H155" s="89">
        <f>weights_editor!H75</f>
        <v>0.5</v>
      </c>
      <c r="I155" s="91" t="s">
        <v>167</v>
      </c>
    </row>
    <row r="156" ht="22.5" customHeight="1">
      <c r="A156" s="80" t="str">
        <f t="shared" si="2"/>
        <v>Confirmed DeveloperLEADERSHIPTeam LeadershipDifficult Conversations</v>
      </c>
      <c r="B156" s="81">
        <v>71.0</v>
      </c>
      <c r="C156" s="82" t="s">
        <v>74</v>
      </c>
      <c r="D156" s="87" t="str">
        <f>weights_editor!A76</f>
        <v>LEADERSHIP</v>
      </c>
      <c r="E156" s="94" t="str">
        <f>weights_editor!B76</f>
        <v>Team Leadership</v>
      </c>
      <c r="F156" s="94" t="str">
        <f>weights_editor!C76</f>
        <v>Difficult Conversations</v>
      </c>
      <c r="G156" s="88">
        <f>weights_editor!G76</f>
        <v>0.2</v>
      </c>
      <c r="H156" s="89">
        <f>weights_editor!H76</f>
        <v>0.2</v>
      </c>
      <c r="I156" s="91" t="s">
        <v>167</v>
      </c>
    </row>
    <row r="157" ht="22.5" customHeight="1">
      <c r="A157" s="80" t="str">
        <f t="shared" si="2"/>
        <v>Confirmed DeveloperLEADERSHIPTeam LeadershipReliability</v>
      </c>
      <c r="B157" s="81">
        <v>72.0</v>
      </c>
      <c r="C157" s="82" t="s">
        <v>74</v>
      </c>
      <c r="D157" s="87" t="str">
        <f>weights_editor!A77</f>
        <v>LEADERSHIP</v>
      </c>
      <c r="E157" s="94" t="str">
        <f>weights_editor!B77</f>
        <v>Team Leadership</v>
      </c>
      <c r="F157" s="94" t="str">
        <f>weights_editor!C77</f>
        <v>Reliability</v>
      </c>
      <c r="G157" s="88">
        <f>weights_editor!G77</f>
        <v>1.3</v>
      </c>
      <c r="H157" s="89">
        <f>weights_editor!H77</f>
        <v>0.2</v>
      </c>
      <c r="I157" s="91" t="s">
        <v>167</v>
      </c>
    </row>
    <row r="158" ht="22.5" customHeight="1">
      <c r="A158" s="80" t="str">
        <f t="shared" si="2"/>
        <v>Confirmed DeveloperLEADERSHIPTeam LeadershipVulnerability</v>
      </c>
      <c r="B158" s="81">
        <v>73.0</v>
      </c>
      <c r="C158" s="82" t="s">
        <v>74</v>
      </c>
      <c r="D158" s="87" t="str">
        <f>weights_editor!A78</f>
        <v>LEADERSHIP</v>
      </c>
      <c r="E158" s="94" t="str">
        <f>weights_editor!B78</f>
        <v>Team Leadership</v>
      </c>
      <c r="F158" s="94" t="str">
        <f>weights_editor!C78</f>
        <v>Vulnerability</v>
      </c>
      <c r="G158" s="88">
        <f>weights_editor!G78</f>
        <v>1.7</v>
      </c>
      <c r="H158" s="89">
        <f>weights_editor!H78</f>
        <v>0.1</v>
      </c>
      <c r="I158" s="91" t="s">
        <v>167</v>
      </c>
    </row>
    <row r="159" ht="22.5" customHeight="1">
      <c r="A159" s="80" t="str">
        <f t="shared" si="2"/>
        <v>Confirmed DeveloperLEADERSHIPDeveloping Others</v>
      </c>
      <c r="B159" s="81">
        <v>74.0</v>
      </c>
      <c r="C159" s="82" t="s">
        <v>74</v>
      </c>
      <c r="D159" s="87" t="str">
        <f>weights_editor!A79</f>
        <v>LEADERSHIP</v>
      </c>
      <c r="E159" s="94" t="str">
        <f>weights_editor!B79</f>
        <v>Developing Others</v>
      </c>
      <c r="F159" s="94" t="str">
        <f>weights_editor!C79</f>
        <v/>
      </c>
      <c r="G159" s="88">
        <f>weights_editor!G79</f>
        <v>0.53</v>
      </c>
      <c r="H159" s="89">
        <f>weights_editor!H79</f>
        <v>0.2</v>
      </c>
      <c r="I159" s="90" t="s">
        <v>265</v>
      </c>
    </row>
    <row r="160" ht="22.5" customHeight="1">
      <c r="A160" s="80" t="str">
        <f t="shared" si="2"/>
        <v>Confirmed DeveloperLEADERSHIPDeveloping OthersIdentifying strengths</v>
      </c>
      <c r="B160" s="81">
        <v>75.0</v>
      </c>
      <c r="C160" s="82" t="s">
        <v>74</v>
      </c>
      <c r="D160" s="87" t="str">
        <f>weights_editor!A80</f>
        <v>LEADERSHIP</v>
      </c>
      <c r="E160" s="94" t="str">
        <f>weights_editor!B80</f>
        <v>Developing Others</v>
      </c>
      <c r="F160" s="94" t="str">
        <f>weights_editor!C80</f>
        <v>Identifying strengths</v>
      </c>
      <c r="G160" s="88">
        <f>weights_editor!G80</f>
        <v>0.4</v>
      </c>
      <c r="H160" s="89">
        <f>weights_editor!H80</f>
        <v>0.3</v>
      </c>
      <c r="I160" s="91" t="s">
        <v>167</v>
      </c>
    </row>
    <row r="161" ht="22.5" customHeight="1">
      <c r="A161" s="80" t="str">
        <f t="shared" si="2"/>
        <v>Confirmed DeveloperLEADERSHIPDeveloping OthersSupporting team growth</v>
      </c>
      <c r="B161" s="81">
        <v>76.0</v>
      </c>
      <c r="C161" s="82" t="s">
        <v>74</v>
      </c>
      <c r="D161" s="87" t="str">
        <f>weights_editor!A81</f>
        <v>LEADERSHIP</v>
      </c>
      <c r="E161" s="94" t="str">
        <f>weights_editor!B81</f>
        <v>Developing Others</v>
      </c>
      <c r="F161" s="94" t="str">
        <f>weights_editor!C81</f>
        <v>Supporting team growth</v>
      </c>
      <c r="G161" s="88">
        <f>weights_editor!G81</f>
        <v>0.4</v>
      </c>
      <c r="H161" s="89">
        <f>weights_editor!H81</f>
        <v>0.4</v>
      </c>
      <c r="I161" s="91" t="s">
        <v>167</v>
      </c>
    </row>
    <row r="162" ht="22.5" customHeight="1">
      <c r="A162" s="80" t="str">
        <f t="shared" si="2"/>
        <v>Confirmed DeveloperLEADERSHIPDeveloping OthersInvesting in process</v>
      </c>
      <c r="B162" s="81">
        <v>77.0</v>
      </c>
      <c r="C162" s="82" t="s">
        <v>74</v>
      </c>
      <c r="D162" s="87" t="str">
        <f>weights_editor!A82</f>
        <v>LEADERSHIP</v>
      </c>
      <c r="E162" s="94" t="str">
        <f>weights_editor!B82</f>
        <v>Developing Others</v>
      </c>
      <c r="F162" s="94" t="str">
        <f>weights_editor!C82</f>
        <v>Investing in process</v>
      </c>
      <c r="G162" s="88">
        <f>weights_editor!G82</f>
        <v>0.9</v>
      </c>
      <c r="H162" s="89">
        <f>weights_editor!H82</f>
        <v>0.2</v>
      </c>
      <c r="I162" s="91" t="s">
        <v>167</v>
      </c>
    </row>
    <row r="163" ht="22.5" customHeight="1">
      <c r="A163" s="80" t="str">
        <f t="shared" si="2"/>
        <v>Confirmed DeveloperLEADERSHIPDeveloping OthersFeedback on work</v>
      </c>
      <c r="B163" s="81">
        <v>78.0</v>
      </c>
      <c r="C163" s="82" t="s">
        <v>74</v>
      </c>
      <c r="D163" s="87" t="str">
        <f>weights_editor!A83</f>
        <v>LEADERSHIP</v>
      </c>
      <c r="E163" s="94" t="str">
        <f>weights_editor!B83</f>
        <v>Developing Others</v>
      </c>
      <c r="F163" s="94" t="str">
        <f>weights_editor!C83</f>
        <v>Feedback on work</v>
      </c>
      <c r="G163" s="88">
        <f>weights_editor!G83</f>
        <v>0.7</v>
      </c>
      <c r="H163" s="89">
        <f>weights_editor!H83</f>
        <v>0.1</v>
      </c>
      <c r="I163" s="91" t="s">
        <v>167</v>
      </c>
    </row>
    <row r="164" ht="22.5" customHeight="1">
      <c r="A164" s="80" t="str">
        <f t="shared" si="2"/>
        <v>Confirmed DeveloperLEADERSHIPCulture &amp; Togetherness</v>
      </c>
      <c r="B164" s="81">
        <v>79.0</v>
      </c>
      <c r="C164" s="82" t="s">
        <v>74</v>
      </c>
      <c r="D164" s="87" t="str">
        <f>weights_editor!A84</f>
        <v>LEADERSHIP</v>
      </c>
      <c r="E164" s="94" t="str">
        <f>weights_editor!B84</f>
        <v>Culture &amp; Togetherness</v>
      </c>
      <c r="F164" s="94" t="str">
        <f>weights_editor!C84</f>
        <v/>
      </c>
      <c r="G164" s="88">
        <f>weights_editor!G84</f>
        <v>1.38</v>
      </c>
      <c r="H164" s="89">
        <f>weights_editor!H84</f>
        <v>0.1</v>
      </c>
      <c r="I164" s="90" t="s">
        <v>266</v>
      </c>
    </row>
    <row r="165" ht="22.5" customHeight="1">
      <c r="A165" s="80" t="str">
        <f t="shared" si="2"/>
        <v>Confirmed DeveloperLEADERSHIPCulture &amp; TogethernessSetting an Example</v>
      </c>
      <c r="B165" s="81">
        <v>80.0</v>
      </c>
      <c r="C165" s="82" t="s">
        <v>74</v>
      </c>
      <c r="D165" s="87" t="str">
        <f>weights_editor!A85</f>
        <v>LEADERSHIP</v>
      </c>
      <c r="E165" s="94" t="str">
        <f>weights_editor!B85</f>
        <v>Culture &amp; Togetherness</v>
      </c>
      <c r="F165" s="94" t="str">
        <f>weights_editor!C85</f>
        <v>Setting an Example</v>
      </c>
      <c r="G165" s="88">
        <f>weights_editor!G85</f>
        <v>1.8</v>
      </c>
      <c r="H165" s="89">
        <f>weights_editor!H85</f>
        <v>0.5</v>
      </c>
      <c r="I165" s="91" t="s">
        <v>218</v>
      </c>
    </row>
    <row r="166" ht="22.5" customHeight="1">
      <c r="A166" s="80" t="str">
        <f t="shared" si="2"/>
        <v>Confirmed DeveloperLEADERSHIPCulture &amp; TogethernessEncouraging diverse opinions</v>
      </c>
      <c r="B166" s="81">
        <v>81.0</v>
      </c>
      <c r="C166" s="82" t="s">
        <v>74</v>
      </c>
      <c r="D166" s="87" t="str">
        <f>weights_editor!A86</f>
        <v>LEADERSHIP</v>
      </c>
      <c r="E166" s="94" t="str">
        <f>weights_editor!B86</f>
        <v>Culture &amp; Togetherness</v>
      </c>
      <c r="F166" s="94" t="str">
        <f>weights_editor!C86</f>
        <v>Encouraging diverse opinions</v>
      </c>
      <c r="G166" s="88">
        <f>weights_editor!G86</f>
        <v>0.8</v>
      </c>
      <c r="H166" s="89">
        <f>weights_editor!H86</f>
        <v>0.3</v>
      </c>
      <c r="I166" s="91" t="s">
        <v>219</v>
      </c>
    </row>
    <row r="167" ht="22.5" customHeight="1">
      <c r="A167" s="80" t="str">
        <f t="shared" si="2"/>
        <v>Confirmed DeveloperLEADERSHIPCulture &amp; TogethernessDeveloping personal relationships</v>
      </c>
      <c r="B167" s="81">
        <v>82.0</v>
      </c>
      <c r="C167" s="82" t="s">
        <v>74</v>
      </c>
      <c r="D167" s="87" t="str">
        <f>weights_editor!A87</f>
        <v>LEADERSHIP</v>
      </c>
      <c r="E167" s="94" t="str">
        <f>weights_editor!B87</f>
        <v>Culture &amp; Togetherness</v>
      </c>
      <c r="F167" s="94" t="str">
        <f>weights_editor!C87</f>
        <v>Developing personal relationships</v>
      </c>
      <c r="G167" s="88">
        <f>weights_editor!G87</f>
        <v>1.2</v>
      </c>
      <c r="H167" s="89">
        <f>weights_editor!H87</f>
        <v>0.2</v>
      </c>
      <c r="I167" s="91" t="s">
        <v>220</v>
      </c>
    </row>
    <row r="168" ht="22.5" customHeight="1">
      <c r="A168" s="80" t="str">
        <f>TRIM(C168&amp;D168&amp;E168&amp;F168)</f>
        <v>Senior DeveloperENGINEERING CRAFT</v>
      </c>
      <c r="B168" s="81">
        <v>0.0</v>
      </c>
      <c r="C168" s="82" t="s">
        <v>5</v>
      </c>
      <c r="D168" s="93" t="str">
        <f>weights_editor!A3</f>
        <v>ENGINEERING CRAFT</v>
      </c>
      <c r="E168" s="94" t="str">
        <f>weights_editor!B3</f>
        <v/>
      </c>
      <c r="F168" s="94" t="str">
        <f>weights_editor!C3</f>
        <v/>
      </c>
      <c r="G168" s="84">
        <f>weights_editor!J3</f>
        <v>2.5345</v>
      </c>
      <c r="H168" s="85">
        <f>weights_editor!K3</f>
        <v>0.6</v>
      </c>
      <c r="I168" s="92"/>
    </row>
    <row r="169" ht="22.5" customHeight="1">
      <c r="A169" s="80" t="str">
        <f t="shared" ref="A169:A250" si="3">C169&amp;D169&amp;E169&amp;F169</f>
        <v>Senior DeveloperENGINEERING CRAFTWriting Code</v>
      </c>
      <c r="B169" s="81">
        <v>1.0</v>
      </c>
      <c r="C169" s="82" t="s">
        <v>5</v>
      </c>
      <c r="D169" s="87" t="str">
        <f>weights_editor!A4</f>
        <v>ENGINEERING CRAFT</v>
      </c>
      <c r="E169" s="94" t="str">
        <f>weights_editor!B4</f>
        <v>Writing Code</v>
      </c>
      <c r="F169" s="94" t="str">
        <f>weights_editor!C4</f>
        <v/>
      </c>
      <c r="G169" s="88">
        <f>weights_editor!J4</f>
        <v>2.51</v>
      </c>
      <c r="H169" s="89">
        <f>weights_editor!K4</f>
        <v>0.35</v>
      </c>
      <c r="I169" s="90" t="s">
        <v>221</v>
      </c>
    </row>
    <row r="170" ht="22.5" customHeight="1">
      <c r="A170" s="80" t="str">
        <f t="shared" si="3"/>
        <v>Senior DeveloperENGINEERING CRAFTWriting CodeQuality</v>
      </c>
      <c r="B170" s="81">
        <v>2.0</v>
      </c>
      <c r="C170" s="82" t="s">
        <v>5</v>
      </c>
      <c r="D170" s="87" t="str">
        <f>weights_editor!A5</f>
        <v>ENGINEERING CRAFT</v>
      </c>
      <c r="E170" s="94" t="str">
        <f>weights_editor!B5</f>
        <v>Writing Code</v>
      </c>
      <c r="F170" s="94" t="str">
        <f>weights_editor!C5</f>
        <v>Quality</v>
      </c>
      <c r="G170" s="88">
        <f>weights_editor!J5</f>
        <v>2.6</v>
      </c>
      <c r="H170" s="89">
        <f>weights_editor!K5</f>
        <v>0.4</v>
      </c>
      <c r="I170" s="91" t="s">
        <v>222</v>
      </c>
    </row>
    <row r="171" ht="22.5" customHeight="1">
      <c r="A171" s="80" t="str">
        <f t="shared" si="3"/>
        <v>Senior DeveloperENGINEERING CRAFTWriting CodeDocumentation</v>
      </c>
      <c r="B171" s="81">
        <v>3.0</v>
      </c>
      <c r="C171" s="82" t="s">
        <v>5</v>
      </c>
      <c r="D171" s="87" t="str">
        <f>weights_editor!A6</f>
        <v>ENGINEERING CRAFT</v>
      </c>
      <c r="E171" s="94" t="str">
        <f>weights_editor!B6</f>
        <v>Writing Code</v>
      </c>
      <c r="F171" s="94" t="str">
        <f>weights_editor!C6</f>
        <v>Documentation</v>
      </c>
      <c r="G171" s="88">
        <f>weights_editor!J6</f>
        <v>2.4</v>
      </c>
      <c r="H171" s="89">
        <f>weights_editor!K6</f>
        <v>0.2</v>
      </c>
      <c r="I171" s="91" t="s">
        <v>267</v>
      </c>
    </row>
    <row r="172" ht="22.5" customHeight="1">
      <c r="A172" s="80" t="str">
        <f t="shared" si="3"/>
        <v>Senior DeveloperENGINEERING CRAFTWriting CodeLanguage</v>
      </c>
      <c r="B172" s="81">
        <v>4.0</v>
      </c>
      <c r="C172" s="82" t="s">
        <v>5</v>
      </c>
      <c r="D172" s="87" t="str">
        <f>weights_editor!A7</f>
        <v>ENGINEERING CRAFT</v>
      </c>
      <c r="E172" s="94" t="str">
        <f>weights_editor!B7</f>
        <v>Writing Code</v>
      </c>
      <c r="F172" s="94" t="str">
        <f>weights_editor!C7</f>
        <v>Language</v>
      </c>
      <c r="G172" s="88">
        <f>weights_editor!J7</f>
        <v>2.8</v>
      </c>
      <c r="H172" s="89">
        <f>weights_editor!K7</f>
        <v>0.3</v>
      </c>
      <c r="I172" s="91" t="s">
        <v>224</v>
      </c>
    </row>
    <row r="173" ht="22.5" customHeight="1">
      <c r="A173" s="80" t="str">
        <f t="shared" si="3"/>
        <v>Senior DeveloperENGINEERING CRAFTWriting CodeMentoring</v>
      </c>
      <c r="B173" s="81">
        <v>5.0</v>
      </c>
      <c r="C173" s="82" t="s">
        <v>5</v>
      </c>
      <c r="D173" s="87" t="str">
        <f>weights_editor!A8</f>
        <v>ENGINEERING CRAFT</v>
      </c>
      <c r="E173" s="94" t="str">
        <f>weights_editor!B8</f>
        <v>Writing Code</v>
      </c>
      <c r="F173" s="94" t="str">
        <f>weights_editor!C8</f>
        <v>Mentoring</v>
      </c>
      <c r="G173" s="88">
        <f>weights_editor!J8</f>
        <v>1.5</v>
      </c>
      <c r="H173" s="89">
        <f>weights_editor!K8</f>
        <v>0.1</v>
      </c>
      <c r="I173" s="91" t="s">
        <v>225</v>
      </c>
    </row>
    <row r="174" ht="22.5" customHeight="1">
      <c r="A174" s="80" t="str">
        <f t="shared" si="3"/>
        <v>Senior DeveloperENGINEERING CRAFTTesting</v>
      </c>
      <c r="B174" s="81">
        <v>6.0</v>
      </c>
      <c r="C174" s="82" t="s">
        <v>5</v>
      </c>
      <c r="D174" s="87" t="str">
        <f>weights_editor!A9</f>
        <v>ENGINEERING CRAFT</v>
      </c>
      <c r="E174" s="94" t="str">
        <f>weights_editor!B9</f>
        <v>Testing</v>
      </c>
      <c r="F174" s="94" t="str">
        <f>weights_editor!C9</f>
        <v/>
      </c>
      <c r="G174" s="88">
        <f>weights_editor!J9</f>
        <v>2.92</v>
      </c>
      <c r="H174" s="89">
        <f>weights_editor!K9</f>
        <v>0.15</v>
      </c>
      <c r="I174" s="90" t="s">
        <v>268</v>
      </c>
    </row>
    <row r="175" ht="22.5" customHeight="1">
      <c r="A175" s="80" t="str">
        <f t="shared" si="3"/>
        <v>Senior DeveloperENGINEERING CRAFTTestingTesting your code</v>
      </c>
      <c r="B175" s="81">
        <v>7.0</v>
      </c>
      <c r="C175" s="82" t="s">
        <v>5</v>
      </c>
      <c r="D175" s="87" t="str">
        <f>weights_editor!A10</f>
        <v>ENGINEERING CRAFT</v>
      </c>
      <c r="E175" s="94" t="str">
        <f>weights_editor!B10</f>
        <v>Testing</v>
      </c>
      <c r="F175" s="94" t="str">
        <f>weights_editor!C10</f>
        <v>Testing your code</v>
      </c>
      <c r="G175" s="88">
        <f>weights_editor!J10</f>
        <v>3.2</v>
      </c>
      <c r="H175" s="89">
        <f>weights_editor!K10</f>
        <v>0.5</v>
      </c>
      <c r="I175" s="91" t="s">
        <v>269</v>
      </c>
    </row>
    <row r="176" ht="22.5" customHeight="1">
      <c r="A176" s="80" t="str">
        <f t="shared" si="3"/>
        <v>Senior DeveloperENGINEERING CRAFTTestingImproving coverage</v>
      </c>
      <c r="B176" s="81">
        <v>8.0</v>
      </c>
      <c r="C176" s="82" t="s">
        <v>5</v>
      </c>
      <c r="D176" s="87" t="str">
        <f>weights_editor!A11</f>
        <v>ENGINEERING CRAFT</v>
      </c>
      <c r="E176" s="94" t="str">
        <f>weights_editor!B11</f>
        <v>Testing</v>
      </c>
      <c r="F176" s="94" t="str">
        <f>weights_editor!C11</f>
        <v>Improving coverage</v>
      </c>
      <c r="G176" s="88">
        <f>weights_editor!J11</f>
        <v>2.8</v>
      </c>
      <c r="H176" s="89">
        <f>weights_editor!K11</f>
        <v>0.3</v>
      </c>
      <c r="I176" s="91" t="s">
        <v>270</v>
      </c>
    </row>
    <row r="177" ht="22.5" customHeight="1">
      <c r="A177" s="80" t="str">
        <f t="shared" si="3"/>
        <v>Senior DeveloperENGINEERING CRAFTTestingTaking responsibility</v>
      </c>
      <c r="B177" s="81">
        <v>9.0</v>
      </c>
      <c r="C177" s="82" t="s">
        <v>5</v>
      </c>
      <c r="D177" s="87" t="str">
        <f>weights_editor!A12</f>
        <v>ENGINEERING CRAFT</v>
      </c>
      <c r="E177" s="94" t="str">
        <f>weights_editor!B12</f>
        <v>Testing</v>
      </c>
      <c r="F177" s="94" t="str">
        <f>weights_editor!C12</f>
        <v>Taking responsibility</v>
      </c>
      <c r="G177" s="88">
        <f>weights_editor!J12</f>
        <v>2.4</v>
      </c>
      <c r="H177" s="89">
        <f>weights_editor!K12</f>
        <v>0.2</v>
      </c>
      <c r="I177" s="91" t="s">
        <v>271</v>
      </c>
    </row>
    <row r="178" ht="22.5" customHeight="1">
      <c r="A178" s="80" t="str">
        <f t="shared" si="3"/>
        <v>Senior DeveloperENGINEERING CRAFTTestingLeading testing strategy</v>
      </c>
      <c r="B178" s="81">
        <v>10.0</v>
      </c>
      <c r="C178" s="82" t="s">
        <v>5</v>
      </c>
      <c r="D178" s="87" t="str">
        <f>weights_editor!A13</f>
        <v>ENGINEERING CRAFT</v>
      </c>
      <c r="E178" s="94" t="str">
        <f>weights_editor!B13</f>
        <v>Testing</v>
      </c>
      <c r="F178" s="94" t="str">
        <f>weights_editor!C13</f>
        <v>Leading testing strategy</v>
      </c>
      <c r="G178" s="88">
        <f>weights_editor!J13</f>
        <v>1</v>
      </c>
      <c r="H178" s="89">
        <f>weights_editor!K13</f>
        <v>0</v>
      </c>
      <c r="I178" s="91" t="s">
        <v>167</v>
      </c>
    </row>
    <row r="179" ht="22.5" customHeight="1">
      <c r="A179" s="80" t="str">
        <f t="shared" si="3"/>
        <v>Senior DeveloperENGINEERING CRAFTTestingAdvocating for testing</v>
      </c>
      <c r="B179" s="81">
        <v>11.0</v>
      </c>
      <c r="C179" s="82" t="s">
        <v>5</v>
      </c>
      <c r="D179" s="87" t="str">
        <f>weights_editor!A14</f>
        <v>ENGINEERING CRAFT</v>
      </c>
      <c r="E179" s="94" t="str">
        <f>weights_editor!B14</f>
        <v>Testing</v>
      </c>
      <c r="F179" s="94" t="str">
        <f>weights_editor!C14</f>
        <v>Advocating for testing</v>
      </c>
      <c r="G179" s="88">
        <f>weights_editor!J14</f>
        <v>1</v>
      </c>
      <c r="H179" s="89">
        <f>weights_editor!K14</f>
        <v>0</v>
      </c>
      <c r="I179" s="91" t="s">
        <v>167</v>
      </c>
    </row>
    <row r="180" ht="22.5" customHeight="1">
      <c r="A180" s="80" t="str">
        <f t="shared" si="3"/>
        <v>Senior DeveloperENGINEERING CRAFTTechnical Understanding &amp; Prioritisation</v>
      </c>
      <c r="B180" s="81">
        <v>12.0</v>
      </c>
      <c r="C180" s="82" t="s">
        <v>5</v>
      </c>
      <c r="D180" s="87" t="str">
        <f>weights_editor!A15</f>
        <v>ENGINEERING CRAFT</v>
      </c>
      <c r="E180" s="94" t="str">
        <f>weights_editor!B15</f>
        <v>Technical Understanding &amp; Prioritisation</v>
      </c>
      <c r="F180" s="94" t="str">
        <f>weights_editor!C15</f>
        <v/>
      </c>
      <c r="G180" s="88">
        <f>weights_editor!J15</f>
        <v>2.46</v>
      </c>
      <c r="H180" s="89">
        <f>weights_editor!K15</f>
        <v>0.15</v>
      </c>
      <c r="I180" s="90" t="s">
        <v>272</v>
      </c>
    </row>
    <row r="181" ht="22.5" customHeight="1">
      <c r="A181" s="80" t="str">
        <f t="shared" si="3"/>
        <v>Senior DeveloperENGINEERING CRAFTTechnical Understanding &amp; PrioritisationUnderstanding code</v>
      </c>
      <c r="B181" s="81">
        <v>13.0</v>
      </c>
      <c r="C181" s="82" t="s">
        <v>5</v>
      </c>
      <c r="D181" s="87" t="str">
        <f>weights_editor!A16</f>
        <v>ENGINEERING CRAFT</v>
      </c>
      <c r="E181" s="94" t="str">
        <f>weights_editor!B16</f>
        <v>Technical Understanding &amp; Prioritisation</v>
      </c>
      <c r="F181" s="94" t="str">
        <f>weights_editor!C16</f>
        <v>Understanding code</v>
      </c>
      <c r="G181" s="88">
        <f>weights_editor!J16</f>
        <v>2.2</v>
      </c>
      <c r="H181" s="89">
        <f>weights_editor!K16</f>
        <v>0.55</v>
      </c>
      <c r="I181" s="91" t="s">
        <v>273</v>
      </c>
    </row>
    <row r="182" ht="22.5" customHeight="1">
      <c r="A182" s="80" t="str">
        <f t="shared" si="3"/>
        <v>Senior DeveloperENGINEERING CRAFTTechnical Understanding &amp; PrioritisationTechnical collaboration</v>
      </c>
      <c r="B182" s="81">
        <v>14.0</v>
      </c>
      <c r="C182" s="82" t="s">
        <v>5</v>
      </c>
      <c r="D182" s="87" t="str">
        <f>weights_editor!A17</f>
        <v>ENGINEERING CRAFT</v>
      </c>
      <c r="E182" s="94" t="str">
        <f>weights_editor!B17</f>
        <v>Technical Understanding &amp; Prioritisation</v>
      </c>
      <c r="F182" s="94" t="str">
        <f>weights_editor!C17</f>
        <v>Technical collaboration</v>
      </c>
      <c r="G182" s="88">
        <f>weights_editor!J17</f>
        <v>2.6</v>
      </c>
      <c r="H182" s="89">
        <f>weights_editor!K17</f>
        <v>0.25</v>
      </c>
      <c r="I182" s="91" t="s">
        <v>274</v>
      </c>
    </row>
    <row r="183" ht="22.5" customHeight="1">
      <c r="A183" s="80" t="str">
        <f t="shared" si="3"/>
        <v>Senior DeveloperENGINEERING CRAFTTechnical Understanding &amp; PrioritisationWork breakdown</v>
      </c>
      <c r="B183" s="81">
        <v>15.0</v>
      </c>
      <c r="C183" s="82" t="s">
        <v>5</v>
      </c>
      <c r="D183" s="87" t="str">
        <f>weights_editor!A18</f>
        <v>ENGINEERING CRAFT</v>
      </c>
      <c r="E183" s="94" t="str">
        <f>weights_editor!B18</f>
        <v>Technical Understanding &amp; Prioritisation</v>
      </c>
      <c r="F183" s="94" t="str">
        <f>weights_editor!C18</f>
        <v>Work breakdown</v>
      </c>
      <c r="G183" s="88">
        <f>weights_editor!J18</f>
        <v>2.4</v>
      </c>
      <c r="H183" s="89">
        <f>weights_editor!K18</f>
        <v>0.15</v>
      </c>
      <c r="I183" s="91" t="s">
        <v>275</v>
      </c>
    </row>
    <row r="184" ht="22.5" customHeight="1">
      <c r="A184" s="80" t="str">
        <f t="shared" si="3"/>
        <v>Senior DeveloperENGINEERING CRAFTTechnical Understanding &amp; PrioritisationTask prioritisation</v>
      </c>
      <c r="B184" s="81">
        <v>16.0</v>
      </c>
      <c r="C184" s="82" t="s">
        <v>5</v>
      </c>
      <c r="D184" s="87" t="str">
        <f>weights_editor!A19</f>
        <v>ENGINEERING CRAFT</v>
      </c>
      <c r="E184" s="94" t="str">
        <f>weights_editor!B19</f>
        <v>Technical Understanding &amp; Prioritisation</v>
      </c>
      <c r="F184" s="94" t="str">
        <f>weights_editor!C19</f>
        <v>Task prioritisation</v>
      </c>
      <c r="G184" s="88">
        <f>weights_editor!J19</f>
        <v>2.4</v>
      </c>
      <c r="H184" s="89">
        <f>weights_editor!K19</f>
        <v>0.1</v>
      </c>
      <c r="I184" s="91" t="s">
        <v>276</v>
      </c>
    </row>
    <row r="185" ht="22.5" customHeight="1">
      <c r="A185" s="80" t="str">
        <f t="shared" si="3"/>
        <v>Senior DeveloperENGINEERING CRAFTSoftware Architecture</v>
      </c>
      <c r="B185" s="81">
        <v>17.0</v>
      </c>
      <c r="C185" s="82" t="s">
        <v>5</v>
      </c>
      <c r="D185" s="87" t="str">
        <f>weights_editor!A20</f>
        <v>ENGINEERING CRAFT</v>
      </c>
      <c r="E185" s="94" t="str">
        <f>weights_editor!B20</f>
        <v>Software Architecture</v>
      </c>
      <c r="F185" s="94" t="str">
        <f>weights_editor!C20</f>
        <v/>
      </c>
      <c r="G185" s="88">
        <f>weights_editor!J20</f>
        <v>2.17</v>
      </c>
      <c r="H185" s="89">
        <f>weights_editor!K20</f>
        <v>0.15</v>
      </c>
      <c r="I185" s="90" t="s">
        <v>277</v>
      </c>
    </row>
    <row r="186" ht="22.5" customHeight="1">
      <c r="A186" s="80" t="str">
        <f t="shared" si="3"/>
        <v>Senior DeveloperENGINEERING CRAFTSoftware ArchitectureReaction to feedback</v>
      </c>
      <c r="B186" s="81">
        <v>18.0</v>
      </c>
      <c r="C186" s="82" t="s">
        <v>5</v>
      </c>
      <c r="D186" s="87" t="str">
        <f>weights_editor!A21</f>
        <v>ENGINEERING CRAFT</v>
      </c>
      <c r="E186" s="94" t="str">
        <f>weights_editor!B21</f>
        <v>Software Architecture</v>
      </c>
      <c r="F186" s="94" t="str">
        <f>weights_editor!C21</f>
        <v>Reaction to feedback</v>
      </c>
      <c r="G186" s="88">
        <f>weights_editor!J21</f>
        <v>3</v>
      </c>
      <c r="H186" s="89">
        <f>weights_editor!K21</f>
        <v>0.2</v>
      </c>
      <c r="I186" s="91" t="s">
        <v>167</v>
      </c>
    </row>
    <row r="187" ht="22.5" customHeight="1">
      <c r="A187" s="80" t="str">
        <f t="shared" si="3"/>
        <v>Senior DeveloperENGINEERING CRAFTSoftware ArchitectureCode</v>
      </c>
      <c r="B187" s="81">
        <v>19.0</v>
      </c>
      <c r="C187" s="82" t="s">
        <v>5</v>
      </c>
      <c r="D187" s="87" t="str">
        <f>weights_editor!A22</f>
        <v>ENGINEERING CRAFT</v>
      </c>
      <c r="E187" s="94" t="str">
        <f>weights_editor!B22</f>
        <v>Software Architecture</v>
      </c>
      <c r="F187" s="94" t="str">
        <f>weights_editor!C22</f>
        <v>Code</v>
      </c>
      <c r="G187" s="88">
        <f>weights_editor!J22</f>
        <v>2.6</v>
      </c>
      <c r="H187" s="89">
        <f>weights_editor!K22</f>
        <v>0.2</v>
      </c>
      <c r="I187" s="91" t="s">
        <v>278</v>
      </c>
    </row>
    <row r="188" ht="22.5" customHeight="1">
      <c r="A188" s="80" t="str">
        <f t="shared" si="3"/>
        <v>Senior DeveloperENGINEERING CRAFTSoftware ArchitectureDesign</v>
      </c>
      <c r="B188" s="81">
        <v>20.0</v>
      </c>
      <c r="C188" s="82" t="s">
        <v>5</v>
      </c>
      <c r="D188" s="87" t="str">
        <f>weights_editor!A23</f>
        <v>ENGINEERING CRAFT</v>
      </c>
      <c r="E188" s="94" t="str">
        <f>weights_editor!B23</f>
        <v>Software Architecture</v>
      </c>
      <c r="F188" s="94" t="str">
        <f>weights_editor!C23</f>
        <v>Design</v>
      </c>
      <c r="G188" s="88">
        <f>weights_editor!J23</f>
        <v>1.5</v>
      </c>
      <c r="H188" s="89">
        <f>weights_editor!K23</f>
        <v>0.3</v>
      </c>
      <c r="I188" s="91" t="s">
        <v>279</v>
      </c>
    </row>
    <row r="189" ht="22.5" customHeight="1">
      <c r="A189" s="80" t="str">
        <f t="shared" si="3"/>
        <v>Senior DeveloperENGINEERING CRAFTSoftware ArchitectureDevelopment</v>
      </c>
      <c r="B189" s="81">
        <v>21.0</v>
      </c>
      <c r="C189" s="82" t="s">
        <v>5</v>
      </c>
      <c r="D189" s="87" t="str">
        <f>weights_editor!A24</f>
        <v>ENGINEERING CRAFT</v>
      </c>
      <c r="E189" s="94" t="str">
        <f>weights_editor!B24</f>
        <v>Software Architecture</v>
      </c>
      <c r="F189" s="94" t="str">
        <f>weights_editor!C24</f>
        <v>Development</v>
      </c>
      <c r="G189" s="88">
        <f>weights_editor!J24</f>
        <v>2</v>
      </c>
      <c r="H189" s="89">
        <f>weights_editor!K24</f>
        <v>0.3</v>
      </c>
      <c r="I189" s="91" t="s">
        <v>167</v>
      </c>
    </row>
    <row r="190" ht="22.5" customHeight="1">
      <c r="A190" s="80" t="str">
        <f t="shared" si="3"/>
        <v>Senior DeveloperENGINEERING CRAFTSoftware ArchitectureTechnical debt</v>
      </c>
      <c r="B190" s="81">
        <v>22.0</v>
      </c>
      <c r="C190" s="82" t="s">
        <v>5</v>
      </c>
      <c r="D190" s="87" t="str">
        <f>weights_editor!A25</f>
        <v>ENGINEERING CRAFT</v>
      </c>
      <c r="E190" s="94" t="str">
        <f>weights_editor!B25</f>
        <v>Software Architecture</v>
      </c>
      <c r="F190" s="94" t="str">
        <f>weights_editor!C25</f>
        <v>Technical debt</v>
      </c>
      <c r="G190" s="88">
        <f>weights_editor!J25</f>
        <v>2.1</v>
      </c>
      <c r="H190" s="89">
        <f>weights_editor!K25</f>
        <v>0</v>
      </c>
      <c r="I190" s="91" t="s">
        <v>280</v>
      </c>
    </row>
    <row r="191" ht="22.5" customHeight="1">
      <c r="A191" s="80" t="str">
        <f t="shared" si="3"/>
        <v>Senior DeveloperENGINEERING CRAFTSecurity</v>
      </c>
      <c r="B191" s="81">
        <v>23.0</v>
      </c>
      <c r="C191" s="82" t="s">
        <v>5</v>
      </c>
      <c r="D191" s="87" t="str">
        <f>weights_editor!A26</f>
        <v>ENGINEERING CRAFT</v>
      </c>
      <c r="E191" s="94" t="str">
        <f>weights_editor!B26</f>
        <v>Security</v>
      </c>
      <c r="F191" s="94" t="str">
        <f>weights_editor!C26</f>
        <v/>
      </c>
      <c r="G191" s="88">
        <f>weights_editor!J26</f>
        <v>2.71</v>
      </c>
      <c r="H191" s="89">
        <f>weights_editor!K26</f>
        <v>0.1</v>
      </c>
      <c r="I191" s="90" t="s">
        <v>281</v>
      </c>
    </row>
    <row r="192" ht="22.5" customHeight="1">
      <c r="A192" s="80" t="str">
        <f t="shared" si="3"/>
        <v>Senior DeveloperENGINEERING CRAFTSecurityKnowledge</v>
      </c>
      <c r="B192" s="81">
        <v>24.0</v>
      </c>
      <c r="C192" s="82" t="s">
        <v>5</v>
      </c>
      <c r="D192" s="87" t="str">
        <f>weights_editor!A27</f>
        <v>ENGINEERING CRAFT</v>
      </c>
      <c r="E192" s="94" t="str">
        <f>weights_editor!B27</f>
        <v>Security</v>
      </c>
      <c r="F192" s="94" t="str">
        <f>weights_editor!C27</f>
        <v>Knowledge</v>
      </c>
      <c r="G192" s="88">
        <f>weights_editor!J27</f>
        <v>2.8</v>
      </c>
      <c r="H192" s="89">
        <f>weights_editor!K27</f>
        <v>0.3</v>
      </c>
      <c r="I192" s="91" t="s">
        <v>282</v>
      </c>
    </row>
    <row r="193" ht="22.5" customHeight="1">
      <c r="A193" s="80" t="str">
        <f t="shared" si="3"/>
        <v>Senior DeveloperENGINEERING CRAFTSecurityUser data</v>
      </c>
      <c r="B193" s="81">
        <v>25.0</v>
      </c>
      <c r="C193" s="82" t="s">
        <v>5</v>
      </c>
      <c r="D193" s="87" t="str">
        <f>weights_editor!A28</f>
        <v>ENGINEERING CRAFT</v>
      </c>
      <c r="E193" s="94" t="str">
        <f>weights_editor!B28</f>
        <v>Security</v>
      </c>
      <c r="F193" s="94" t="str">
        <f>weights_editor!C28</f>
        <v>User data</v>
      </c>
      <c r="G193" s="88">
        <f>weights_editor!J28</f>
        <v>3.1</v>
      </c>
      <c r="H193" s="89">
        <f>weights_editor!K28</f>
        <v>0.3</v>
      </c>
      <c r="I193" s="91" t="s">
        <v>283</v>
      </c>
    </row>
    <row r="194" ht="22.5" customHeight="1">
      <c r="A194" s="80" t="str">
        <f t="shared" si="3"/>
        <v>Senior DeveloperENGINEERING CRAFTSecurityReporting</v>
      </c>
      <c r="B194" s="81">
        <v>26.0</v>
      </c>
      <c r="C194" s="82" t="s">
        <v>5</v>
      </c>
      <c r="D194" s="87" t="str">
        <f>weights_editor!A29</f>
        <v>ENGINEERING CRAFT</v>
      </c>
      <c r="E194" s="94" t="str">
        <f>weights_editor!B29</f>
        <v>Security</v>
      </c>
      <c r="F194" s="94" t="str">
        <f>weights_editor!C29</f>
        <v>Reporting</v>
      </c>
      <c r="G194" s="88">
        <f>weights_editor!J29</f>
        <v>2.6</v>
      </c>
      <c r="H194" s="89">
        <f>weights_editor!K29</f>
        <v>0.2</v>
      </c>
      <c r="I194" s="91" t="s">
        <v>167</v>
      </c>
    </row>
    <row r="195" ht="22.5" customHeight="1">
      <c r="A195" s="80" t="str">
        <f t="shared" si="3"/>
        <v>Senior DeveloperENGINEERING CRAFTSecurityProactivity</v>
      </c>
      <c r="B195" s="81">
        <v>27.0</v>
      </c>
      <c r="C195" s="82" t="s">
        <v>5</v>
      </c>
      <c r="D195" s="87" t="str">
        <f>weights_editor!A30</f>
        <v>ENGINEERING CRAFT</v>
      </c>
      <c r="E195" s="94" t="str">
        <f>weights_editor!B30</f>
        <v>Security</v>
      </c>
      <c r="F195" s="94" t="str">
        <f>weights_editor!C30</f>
        <v>Proactivity</v>
      </c>
      <c r="G195" s="88">
        <f>weights_editor!J30</f>
        <v>2.1</v>
      </c>
      <c r="H195" s="89">
        <f>weights_editor!K30</f>
        <v>0.2</v>
      </c>
      <c r="I195" s="91" t="s">
        <v>284</v>
      </c>
    </row>
    <row r="196" ht="22.5" customHeight="1">
      <c r="A196" s="80" t="str">
        <f t="shared" si="3"/>
        <v>Senior DeveloperENGINEERING CRAFTSecurityCollaboration</v>
      </c>
      <c r="B196" s="81">
        <v>28.0</v>
      </c>
      <c r="C196" s="82" t="s">
        <v>5</v>
      </c>
      <c r="D196" s="87" t="str">
        <f>weights_editor!A31</f>
        <v>ENGINEERING CRAFT</v>
      </c>
      <c r="E196" s="94" t="str">
        <f>weights_editor!B31</f>
        <v>Security</v>
      </c>
      <c r="F196" s="94" t="str">
        <f>weights_editor!C31</f>
        <v>Collaboration</v>
      </c>
      <c r="G196" s="88">
        <f>weights_editor!J31</f>
        <v>2.4</v>
      </c>
      <c r="H196" s="89">
        <f>weights_editor!K31</f>
        <v>0</v>
      </c>
      <c r="I196" s="91" t="s">
        <v>285</v>
      </c>
    </row>
    <row r="197" ht="22.5" customHeight="1">
      <c r="A197" s="80" t="str">
        <f t="shared" si="3"/>
        <v>Senior DeveloperENGINEERING CRAFTSecurityStrategy</v>
      </c>
      <c r="B197" s="81">
        <v>29.0</v>
      </c>
      <c r="C197" s="82" t="s">
        <v>5</v>
      </c>
      <c r="D197" s="87" t="str">
        <f>weights_editor!A32</f>
        <v>ENGINEERING CRAFT</v>
      </c>
      <c r="E197" s="94" t="str">
        <f>weights_editor!B32</f>
        <v>Security</v>
      </c>
      <c r="F197" s="94" t="str">
        <f>weights_editor!C32</f>
        <v>Strategy</v>
      </c>
      <c r="G197" s="88">
        <f>weights_editor!J32</f>
        <v>1.5</v>
      </c>
      <c r="H197" s="89">
        <f>weights_editor!K32</f>
        <v>0</v>
      </c>
      <c r="I197" s="91" t="s">
        <v>167</v>
      </c>
    </row>
    <row r="198" ht="22.5" customHeight="1">
      <c r="A198" s="80" t="str">
        <f t="shared" si="3"/>
        <v>Senior DeveloperENGINEERING CRAFTDebugging &amp; Monitoring</v>
      </c>
      <c r="B198" s="81">
        <v>30.0</v>
      </c>
      <c r="C198" s="82" t="s">
        <v>5</v>
      </c>
      <c r="D198" s="87" t="str">
        <f>weights_editor!A33</f>
        <v>ENGINEERING CRAFT</v>
      </c>
      <c r="E198" s="94" t="str">
        <f>weights_editor!B33</f>
        <v>Debugging &amp; Monitoring</v>
      </c>
      <c r="F198" s="94" t="str">
        <f>weights_editor!C33</f>
        <v/>
      </c>
      <c r="G198" s="88">
        <f>weights_editor!J33</f>
        <v>2.525</v>
      </c>
      <c r="H198" s="89">
        <f>weights_editor!K33</f>
        <v>0.1</v>
      </c>
      <c r="I198" s="90" t="s">
        <v>286</v>
      </c>
    </row>
    <row r="199" ht="22.5" customHeight="1">
      <c r="A199" s="80" t="str">
        <f t="shared" si="3"/>
        <v>Senior DeveloperENGINEERING CRAFTDebugging &amp; MonitoringDebugging</v>
      </c>
      <c r="B199" s="81">
        <v>31.0</v>
      </c>
      <c r="C199" s="82" t="s">
        <v>5</v>
      </c>
      <c r="D199" s="87" t="str">
        <f>weights_editor!A34</f>
        <v>ENGINEERING CRAFT</v>
      </c>
      <c r="E199" s="94" t="str">
        <f>weights_editor!B34</f>
        <v>Debugging &amp; Monitoring</v>
      </c>
      <c r="F199" s="94" t="str">
        <f>weights_editor!C34</f>
        <v>Debugging</v>
      </c>
      <c r="G199" s="88">
        <f>weights_editor!J34</f>
        <v>2.8</v>
      </c>
      <c r="H199" s="89">
        <f>weights_editor!K34</f>
        <v>0.4</v>
      </c>
      <c r="I199" s="91" t="s">
        <v>287</v>
      </c>
    </row>
    <row r="200" ht="22.5" customHeight="1">
      <c r="A200" s="80" t="str">
        <f t="shared" si="3"/>
        <v>Senior DeveloperENGINEERING CRAFTDebugging &amp; MonitoringTools</v>
      </c>
      <c r="B200" s="81">
        <v>32.0</v>
      </c>
      <c r="C200" s="82" t="s">
        <v>5</v>
      </c>
      <c r="D200" s="87" t="str">
        <f>weights_editor!A35</f>
        <v>ENGINEERING CRAFT</v>
      </c>
      <c r="E200" s="94" t="str">
        <f>weights_editor!B35</f>
        <v>Debugging &amp; Monitoring</v>
      </c>
      <c r="F200" s="94" t="str">
        <f>weights_editor!C35</f>
        <v>Tools</v>
      </c>
      <c r="G200" s="88">
        <f>weights_editor!J35</f>
        <v>2.6</v>
      </c>
      <c r="H200" s="89">
        <f>weights_editor!K35</f>
        <v>0.2</v>
      </c>
      <c r="I200" s="91" t="s">
        <v>288</v>
      </c>
    </row>
    <row r="201" ht="22.5" customHeight="1">
      <c r="A201" s="80" t="str">
        <f t="shared" si="3"/>
        <v>Senior DeveloperENGINEERING CRAFTDebugging &amp; MonitoringPhilosophy</v>
      </c>
      <c r="B201" s="81">
        <v>33.0</v>
      </c>
      <c r="C201" s="82" t="s">
        <v>5</v>
      </c>
      <c r="D201" s="87" t="str">
        <f>weights_editor!A36</f>
        <v>ENGINEERING CRAFT</v>
      </c>
      <c r="E201" s="94" t="str">
        <f>weights_editor!B36</f>
        <v>Debugging &amp; Monitoring</v>
      </c>
      <c r="F201" s="94" t="str">
        <f>weights_editor!C36</f>
        <v>Philosophy</v>
      </c>
      <c r="G201" s="88">
        <f>weights_editor!J36</f>
        <v>2.1</v>
      </c>
      <c r="H201" s="89">
        <f>weights_editor!K36</f>
        <v>0.2</v>
      </c>
      <c r="I201" s="91" t="s">
        <v>289</v>
      </c>
    </row>
    <row r="202" ht="22.5" customHeight="1">
      <c r="A202" s="80" t="str">
        <f t="shared" si="3"/>
        <v>Senior DeveloperENGINEERING CRAFTDebugging &amp; MonitoringData</v>
      </c>
      <c r="B202" s="81">
        <v>34.0</v>
      </c>
      <c r="C202" s="82" t="s">
        <v>5</v>
      </c>
      <c r="D202" s="87" t="str">
        <f>weights_editor!A37</f>
        <v>ENGINEERING CRAFT</v>
      </c>
      <c r="E202" s="94" t="str">
        <f>weights_editor!B37</f>
        <v>Debugging &amp; Monitoring</v>
      </c>
      <c r="F202" s="94" t="str">
        <f>weights_editor!C37</f>
        <v>Data</v>
      </c>
      <c r="G202" s="88">
        <f>weights_editor!J37</f>
        <v>2.4</v>
      </c>
      <c r="H202" s="89">
        <f>weights_editor!K37</f>
        <v>0.15</v>
      </c>
      <c r="I202" s="91" t="s">
        <v>290</v>
      </c>
    </row>
    <row r="203" ht="22.5" customHeight="1">
      <c r="A203" s="80" t="str">
        <f t="shared" si="3"/>
        <v>Senior DeveloperENGINEERING CRAFTDebugging &amp; MonitoringProfiling</v>
      </c>
      <c r="B203" s="81">
        <v>35.0</v>
      </c>
      <c r="C203" s="82" t="s">
        <v>5</v>
      </c>
      <c r="D203" s="87" t="str">
        <f>weights_editor!A38</f>
        <v>ENGINEERING CRAFT</v>
      </c>
      <c r="E203" s="94" t="str">
        <f>weights_editor!B38</f>
        <v>Debugging &amp; Monitoring</v>
      </c>
      <c r="F203" s="94" t="str">
        <f>weights_editor!C38</f>
        <v>Profiling</v>
      </c>
      <c r="G203" s="88">
        <f>weights_editor!J38</f>
        <v>2.1</v>
      </c>
      <c r="H203" s="89">
        <f>weights_editor!K38</f>
        <v>0.05</v>
      </c>
      <c r="I203" s="91" t="s">
        <v>167</v>
      </c>
    </row>
    <row r="204" ht="22.5" customHeight="1">
      <c r="A204" s="80" t="str">
        <f t="shared" si="3"/>
        <v>Senior DeveloperENGINEERING CRAFTDebugging &amp; MonitoringMentoring</v>
      </c>
      <c r="B204" s="81">
        <v>36.0</v>
      </c>
      <c r="C204" s="82" t="s">
        <v>5</v>
      </c>
      <c r="D204" s="87" t="str">
        <f>weights_editor!A39</f>
        <v>ENGINEERING CRAFT</v>
      </c>
      <c r="E204" s="94" t="str">
        <f>weights_editor!B39</f>
        <v>Debugging &amp; Monitoring</v>
      </c>
      <c r="F204" s="94" t="str">
        <f>weights_editor!C39</f>
        <v>Mentoring</v>
      </c>
      <c r="G204" s="88">
        <f>weights_editor!J39</f>
        <v>1</v>
      </c>
      <c r="H204" s="89">
        <f>weights_editor!K39</f>
        <v>0</v>
      </c>
      <c r="I204" s="91" t="s">
        <v>291</v>
      </c>
    </row>
    <row r="205" ht="22.5" customHeight="1">
      <c r="A205" s="80" t="str">
        <f t="shared" si="3"/>
        <v>Senior DeveloperSOFT SKILLS</v>
      </c>
      <c r="B205" s="81">
        <v>37.0</v>
      </c>
      <c r="C205" s="82" t="s">
        <v>5</v>
      </c>
      <c r="D205" s="93" t="str">
        <f>weights_editor!A41</f>
        <v>SOFT SKILLS</v>
      </c>
      <c r="E205" s="94" t="str">
        <f>weights_editor!B41</f>
        <v/>
      </c>
      <c r="F205" s="94" t="str">
        <f>weights_editor!C41</f>
        <v/>
      </c>
      <c r="G205" s="84">
        <f>weights_editor!J41</f>
        <v>2.264</v>
      </c>
      <c r="H205" s="85">
        <f>weights_editor!K41</f>
        <v>0.3</v>
      </c>
      <c r="I205" s="92"/>
    </row>
    <row r="206" ht="22.5" customHeight="1">
      <c r="A206" s="80" t="str">
        <f t="shared" si="3"/>
        <v>Senior DeveloperSOFT SKILLSEmpathy &amp; Humility</v>
      </c>
      <c r="B206" s="81">
        <v>38.0</v>
      </c>
      <c r="C206" s="82" t="s">
        <v>5</v>
      </c>
      <c r="D206" s="87" t="str">
        <f>weights_editor!A42</f>
        <v>SOFT SKILLS</v>
      </c>
      <c r="E206" s="94" t="str">
        <f>weights_editor!B42</f>
        <v>Empathy &amp; Humility</v>
      </c>
      <c r="F206" s="94" t="str">
        <f>weights_editor!C42</f>
        <v/>
      </c>
      <c r="G206" s="88">
        <f>weights_editor!J42</f>
        <v>2.31</v>
      </c>
      <c r="H206" s="89">
        <f>weights_editor!K42</f>
        <v>0.4</v>
      </c>
      <c r="I206" s="90" t="s">
        <v>292</v>
      </c>
    </row>
    <row r="207" ht="22.5" customHeight="1">
      <c r="A207" s="80" t="str">
        <f t="shared" si="3"/>
        <v>Senior DeveloperSOFT SKILLSEmpathy &amp; HumilityCredit and blame</v>
      </c>
      <c r="B207" s="81">
        <v>39.0</v>
      </c>
      <c r="C207" s="82" t="s">
        <v>5</v>
      </c>
      <c r="D207" s="87" t="str">
        <f>weights_editor!A43</f>
        <v>SOFT SKILLS</v>
      </c>
      <c r="E207" s="94" t="str">
        <f>weights_editor!B43</f>
        <v>Empathy &amp; Humility</v>
      </c>
      <c r="F207" s="94" t="str">
        <f>weights_editor!C43</f>
        <v>Credit and blame</v>
      </c>
      <c r="G207" s="88">
        <f>weights_editor!J43</f>
        <v>2.6</v>
      </c>
      <c r="H207" s="89">
        <f>weights_editor!K43</f>
        <v>0.3</v>
      </c>
      <c r="I207" s="91" t="s">
        <v>293</v>
      </c>
    </row>
    <row r="208" ht="22.5" customHeight="1">
      <c r="A208" s="80" t="str">
        <f t="shared" si="3"/>
        <v>Senior DeveloperSOFT SKILLSEmpathy &amp; HumilityUnderstanding others</v>
      </c>
      <c r="B208" s="81">
        <v>40.0</v>
      </c>
      <c r="C208" s="82" t="s">
        <v>5</v>
      </c>
      <c r="D208" s="87" t="str">
        <f>weights_editor!A44</f>
        <v>SOFT SKILLS</v>
      </c>
      <c r="E208" s="94" t="str">
        <f>weights_editor!B44</f>
        <v>Empathy &amp; Humility</v>
      </c>
      <c r="F208" s="94" t="str">
        <f>weights_editor!C44</f>
        <v>Understanding others</v>
      </c>
      <c r="G208" s="88">
        <f>weights_editor!J44</f>
        <v>2.7</v>
      </c>
      <c r="H208" s="89">
        <f>weights_editor!K44</f>
        <v>0.3</v>
      </c>
      <c r="I208" s="91" t="s">
        <v>294</v>
      </c>
    </row>
    <row r="209" ht="22.5" customHeight="1">
      <c r="A209" s="80" t="str">
        <f t="shared" si="3"/>
        <v>Senior DeveloperSOFT SKILLSEmpathy &amp; HumilityMediation and facilitation</v>
      </c>
      <c r="B209" s="81">
        <v>41.0</v>
      </c>
      <c r="C209" s="82" t="s">
        <v>5</v>
      </c>
      <c r="D209" s="87" t="str">
        <f>weights_editor!A45</f>
        <v>SOFT SKILLS</v>
      </c>
      <c r="E209" s="94" t="str">
        <f>weights_editor!B45</f>
        <v>Empathy &amp; Humility</v>
      </c>
      <c r="F209" s="94" t="str">
        <f>weights_editor!C45</f>
        <v>Mediation and facilitation</v>
      </c>
      <c r="G209" s="88">
        <f>weights_editor!J45</f>
        <v>2.1</v>
      </c>
      <c r="H209" s="89">
        <f>weights_editor!K45</f>
        <v>0.2</v>
      </c>
      <c r="I209" s="91" t="s">
        <v>295</v>
      </c>
    </row>
    <row r="210" ht="22.5" customHeight="1">
      <c r="A210" s="80" t="str">
        <f t="shared" si="3"/>
        <v>Senior DeveloperSOFT SKILLSEmpathy &amp; HumilityMentoring</v>
      </c>
      <c r="B210" s="81">
        <v>42.0</v>
      </c>
      <c r="C210" s="82" t="s">
        <v>5</v>
      </c>
      <c r="D210" s="87" t="str">
        <f>weights_editor!A46</f>
        <v>SOFT SKILLS</v>
      </c>
      <c r="E210" s="94" t="str">
        <f>weights_editor!B46</f>
        <v>Empathy &amp; Humility</v>
      </c>
      <c r="F210" s="94" t="str">
        <f>weights_editor!C46</f>
        <v>Mentoring</v>
      </c>
      <c r="G210" s="88">
        <f>weights_editor!J46</f>
        <v>1.5</v>
      </c>
      <c r="H210" s="89">
        <f>weights_editor!K46</f>
        <v>0.2</v>
      </c>
      <c r="I210" s="91" t="s">
        <v>296</v>
      </c>
    </row>
    <row r="211" ht="22.5" customHeight="1">
      <c r="A211" s="80" t="str">
        <f t="shared" si="3"/>
        <v>Senior DeveloperSOFT SKILLSCommunication</v>
      </c>
      <c r="B211" s="81">
        <v>43.0</v>
      </c>
      <c r="C211" s="82" t="s">
        <v>5</v>
      </c>
      <c r="D211" s="87" t="str">
        <f>weights_editor!A47</f>
        <v>SOFT SKILLS</v>
      </c>
      <c r="E211" s="94" t="str">
        <f>weights_editor!B47</f>
        <v>Communication</v>
      </c>
      <c r="F211" s="94" t="str">
        <f>weights_editor!C47</f>
        <v/>
      </c>
      <c r="G211" s="88">
        <f>weights_editor!J47</f>
        <v>1.96</v>
      </c>
      <c r="H211" s="89">
        <f>weights_editor!K47</f>
        <v>0.2</v>
      </c>
      <c r="I211" s="90" t="s">
        <v>297</v>
      </c>
    </row>
    <row r="212" ht="22.5" customHeight="1">
      <c r="A212" s="80" t="str">
        <f t="shared" si="3"/>
        <v>Senior DeveloperSOFT SKILLSCommunicationKeeping people informed</v>
      </c>
      <c r="B212" s="81">
        <v>44.0</v>
      </c>
      <c r="C212" s="82" t="s">
        <v>5</v>
      </c>
      <c r="D212" s="87" t="str">
        <f>weights_editor!A48</f>
        <v>SOFT SKILLS</v>
      </c>
      <c r="E212" s="94" t="str">
        <f>weights_editor!B48</f>
        <v>Communication</v>
      </c>
      <c r="F212" s="94" t="str">
        <f>weights_editor!C48</f>
        <v>Keeping people informed</v>
      </c>
      <c r="G212" s="88">
        <f>weights_editor!J48</f>
        <v>2</v>
      </c>
      <c r="H212" s="89">
        <f>weights_editor!K48</f>
        <v>0.5</v>
      </c>
      <c r="I212" s="91" t="s">
        <v>298</v>
      </c>
    </row>
    <row r="213" ht="22.5" customHeight="1">
      <c r="A213" s="80" t="str">
        <f t="shared" si="3"/>
        <v>Senior DeveloperSOFT SKILLSCommunicationLooking for feedback</v>
      </c>
      <c r="B213" s="81">
        <v>45.0</v>
      </c>
      <c r="C213" s="82" t="s">
        <v>5</v>
      </c>
      <c r="D213" s="87" t="str">
        <f>weights_editor!A49</f>
        <v>SOFT SKILLS</v>
      </c>
      <c r="E213" s="94" t="str">
        <f>weights_editor!B49</f>
        <v>Communication</v>
      </c>
      <c r="F213" s="94" t="str">
        <f>weights_editor!C49</f>
        <v>Looking for feedback</v>
      </c>
      <c r="G213" s="88">
        <f>weights_editor!J49</f>
        <v>2.8</v>
      </c>
      <c r="H213" s="89">
        <f>weights_editor!K49</f>
        <v>0.2</v>
      </c>
      <c r="I213" s="91" t="s">
        <v>299</v>
      </c>
    </row>
    <row r="214" ht="22.5" customHeight="1">
      <c r="A214" s="80" t="str">
        <f t="shared" si="3"/>
        <v>Senior DeveloperSOFT SKILLSCommunicationDelivering bad news</v>
      </c>
      <c r="B214" s="81">
        <v>46.0</v>
      </c>
      <c r="C214" s="82" t="s">
        <v>5</v>
      </c>
      <c r="D214" s="87" t="str">
        <f>weights_editor!A50</f>
        <v>SOFT SKILLS</v>
      </c>
      <c r="E214" s="94" t="str">
        <f>weights_editor!B50</f>
        <v>Communication</v>
      </c>
      <c r="F214" s="94" t="str">
        <f>weights_editor!C50</f>
        <v>Delivering bad news</v>
      </c>
      <c r="G214" s="88">
        <f>weights_editor!J50</f>
        <v>1.5</v>
      </c>
      <c r="H214" s="89">
        <f>weights_editor!K50</f>
        <v>0.2</v>
      </c>
      <c r="I214" s="91" t="s">
        <v>300</v>
      </c>
    </row>
    <row r="215" ht="22.5" customHeight="1">
      <c r="A215" s="80" t="str">
        <f t="shared" si="3"/>
        <v>Senior DeveloperSOFT SKILLSCommunicationMentoring communicators</v>
      </c>
      <c r="B215" s="81">
        <v>47.0</v>
      </c>
      <c r="C215" s="82" t="s">
        <v>5</v>
      </c>
      <c r="D215" s="87" t="str">
        <f>weights_editor!A51</f>
        <v>SOFT SKILLS</v>
      </c>
      <c r="E215" s="94" t="str">
        <f>weights_editor!B51</f>
        <v>Communication</v>
      </c>
      <c r="F215" s="94" t="str">
        <f>weights_editor!C51</f>
        <v>Mentoring communicators</v>
      </c>
      <c r="G215" s="88">
        <f>weights_editor!J51</f>
        <v>1</v>
      </c>
      <c r="H215" s="89">
        <f>weights_editor!K51</f>
        <v>0.1</v>
      </c>
      <c r="I215" s="91" t="s">
        <v>301</v>
      </c>
    </row>
    <row r="216" ht="22.5" customHeight="1">
      <c r="A216" s="80" t="str">
        <f t="shared" si="3"/>
        <v>Senior DeveloperSOFT SKILLSInitiative</v>
      </c>
      <c r="B216" s="81">
        <v>48.0</v>
      </c>
      <c r="C216" s="82" t="s">
        <v>5</v>
      </c>
      <c r="D216" s="87" t="str">
        <f>weights_editor!A52</f>
        <v>SOFT SKILLS</v>
      </c>
      <c r="E216" s="94" t="str">
        <f>weights_editor!B52</f>
        <v>Initiative</v>
      </c>
      <c r="F216" s="94" t="str">
        <f>weights_editor!C52</f>
        <v/>
      </c>
      <c r="G216" s="88">
        <f>weights_editor!J52</f>
        <v>2.45</v>
      </c>
      <c r="H216" s="89">
        <f>weights_editor!K52</f>
        <v>0.2</v>
      </c>
      <c r="I216" s="90" t="s">
        <v>302</v>
      </c>
    </row>
    <row r="217" ht="22.5" customHeight="1">
      <c r="A217" s="80" t="str">
        <f t="shared" si="3"/>
        <v>Senior DeveloperSOFT SKILLSInitiativeCan-do attitude</v>
      </c>
      <c r="B217" s="81">
        <v>49.0</v>
      </c>
      <c r="C217" s="82" t="s">
        <v>5</v>
      </c>
      <c r="D217" s="87" t="str">
        <f>weights_editor!A53</f>
        <v>SOFT SKILLS</v>
      </c>
      <c r="E217" s="94" t="str">
        <f>weights_editor!B53</f>
        <v>Initiative</v>
      </c>
      <c r="F217" s="94" t="str">
        <f>weights_editor!C53</f>
        <v>Can-do attitude</v>
      </c>
      <c r="G217" s="88">
        <f>weights_editor!J53</f>
        <v>2.8</v>
      </c>
      <c r="H217" s="89">
        <f>weights_editor!K53</f>
        <v>0.5</v>
      </c>
      <c r="I217" s="91" t="s">
        <v>303</v>
      </c>
    </row>
    <row r="218" ht="22.5" customHeight="1">
      <c r="A218" s="80" t="str">
        <f t="shared" si="3"/>
        <v>Senior DeveloperSOFT SKILLSInitiativePro-activity in seeking help</v>
      </c>
      <c r="B218" s="81">
        <v>50.0</v>
      </c>
      <c r="C218" s="82" t="s">
        <v>5</v>
      </c>
      <c r="D218" s="87" t="str">
        <f>weights_editor!A54</f>
        <v>SOFT SKILLS</v>
      </c>
      <c r="E218" s="94" t="str">
        <f>weights_editor!B54</f>
        <v>Initiative</v>
      </c>
      <c r="F218" s="94" t="str">
        <f>weights_editor!C54</f>
        <v>Pro-activity in seeking help</v>
      </c>
      <c r="G218" s="88">
        <f>weights_editor!J54</f>
        <v>2.4</v>
      </c>
      <c r="H218" s="89">
        <f>weights_editor!K54</f>
        <v>0.25</v>
      </c>
      <c r="I218" s="91" t="s">
        <v>304</v>
      </c>
    </row>
    <row r="219" ht="22.5" customHeight="1">
      <c r="A219" s="80" t="str">
        <f t="shared" si="3"/>
        <v>Senior DeveloperSOFT SKILLSInitiativeFollow through</v>
      </c>
      <c r="B219" s="81">
        <v>51.0</v>
      </c>
      <c r="C219" s="82" t="s">
        <v>5</v>
      </c>
      <c r="D219" s="87" t="str">
        <f>weights_editor!A55</f>
        <v>SOFT SKILLS</v>
      </c>
      <c r="E219" s="94" t="str">
        <f>weights_editor!B55</f>
        <v>Initiative</v>
      </c>
      <c r="F219" s="94" t="str">
        <f>weights_editor!C55</f>
        <v>Follow through</v>
      </c>
      <c r="G219" s="88">
        <f>weights_editor!J55</f>
        <v>1.8</v>
      </c>
      <c r="H219" s="89">
        <f>weights_editor!K55</f>
        <v>0.25</v>
      </c>
      <c r="I219" s="91" t="s">
        <v>305</v>
      </c>
    </row>
    <row r="220" ht="22.5" customHeight="1">
      <c r="A220" s="80" t="str">
        <f t="shared" si="3"/>
        <v>Senior DeveloperSOFT SKILLSObjectivity &amp; Adaptability</v>
      </c>
      <c r="B220" s="81">
        <v>52.0</v>
      </c>
      <c r="C220" s="82" t="s">
        <v>5</v>
      </c>
      <c r="D220" s="87" t="str">
        <f>weights_editor!A56</f>
        <v>SOFT SKILLS</v>
      </c>
      <c r="E220" s="94" t="str">
        <f>weights_editor!B56</f>
        <v>Objectivity &amp; Adaptability</v>
      </c>
      <c r="F220" s="94" t="str">
        <f>weights_editor!C56</f>
        <v/>
      </c>
      <c r="G220" s="88">
        <f>weights_editor!J56</f>
        <v>2.78</v>
      </c>
      <c r="H220" s="89">
        <f>weights_editor!K56</f>
        <v>0.1</v>
      </c>
      <c r="I220" s="90" t="s">
        <v>306</v>
      </c>
    </row>
    <row r="221" ht="22.5" customHeight="1">
      <c r="A221" s="80" t="str">
        <f t="shared" si="3"/>
        <v>Senior DeveloperSOFT SKILLSObjectivity &amp; AdaptabilityEfficient decision-making</v>
      </c>
      <c r="B221" s="81">
        <v>53.0</v>
      </c>
      <c r="C221" s="82" t="s">
        <v>5</v>
      </c>
      <c r="D221" s="87" t="str">
        <f>weights_editor!A57</f>
        <v>SOFT SKILLS</v>
      </c>
      <c r="E221" s="94" t="str">
        <f>weights_editor!B57</f>
        <v>Objectivity &amp; Adaptability</v>
      </c>
      <c r="F221" s="94" t="str">
        <f>weights_editor!C57</f>
        <v>Efficient decision-making</v>
      </c>
      <c r="G221" s="88">
        <f>weights_editor!J57</f>
        <v>2.6</v>
      </c>
      <c r="H221" s="89">
        <f>weights_editor!K57</f>
        <v>0.5</v>
      </c>
      <c r="I221" s="91" t="s">
        <v>307</v>
      </c>
    </row>
    <row r="222" ht="22.5" customHeight="1">
      <c r="A222" s="80" t="str">
        <f t="shared" si="3"/>
        <v>Senior DeveloperSOFT SKILLSObjectivity &amp; AdaptabilitySelf improvement</v>
      </c>
      <c r="B222" s="81">
        <v>54.0</v>
      </c>
      <c r="C222" s="82" t="s">
        <v>5</v>
      </c>
      <c r="D222" s="87" t="str">
        <f>weights_editor!A58</f>
        <v>SOFT SKILLS</v>
      </c>
      <c r="E222" s="94" t="str">
        <f>weights_editor!B58</f>
        <v>Objectivity &amp; Adaptability</v>
      </c>
      <c r="F222" s="94" t="str">
        <f>weights_editor!C58</f>
        <v>Self improvement</v>
      </c>
      <c r="G222" s="88">
        <f>weights_editor!J58</f>
        <v>3.5</v>
      </c>
      <c r="H222" s="89">
        <f>weights_editor!K58</f>
        <v>0.2</v>
      </c>
      <c r="I222" s="91" t="s">
        <v>308</v>
      </c>
    </row>
    <row r="223" ht="22.5" customHeight="1">
      <c r="A223" s="80" t="str">
        <f t="shared" si="3"/>
        <v>Senior DeveloperSOFT SKILLSObjectivity &amp; AdaptabilityObjectivity</v>
      </c>
      <c r="B223" s="81">
        <v>55.0</v>
      </c>
      <c r="C223" s="82" t="s">
        <v>5</v>
      </c>
      <c r="D223" s="87" t="str">
        <f>weights_editor!A59</f>
        <v>SOFT SKILLS</v>
      </c>
      <c r="E223" s="94" t="str">
        <f>weights_editor!B59</f>
        <v>Objectivity &amp; Adaptability</v>
      </c>
      <c r="F223" s="94" t="str">
        <f>weights_editor!C59</f>
        <v>Objectivity</v>
      </c>
      <c r="G223" s="88">
        <f>weights_editor!J59</f>
        <v>2.7</v>
      </c>
      <c r="H223" s="89">
        <f>weights_editor!K59</f>
        <v>0.2</v>
      </c>
      <c r="I223" s="91" t="s">
        <v>309</v>
      </c>
    </row>
    <row r="224" ht="22.5" customHeight="1">
      <c r="A224" s="80" t="str">
        <f t="shared" si="3"/>
        <v>Senior DeveloperSOFT SKILLSObjectivity &amp; AdaptabilityTime management</v>
      </c>
      <c r="B224" s="81">
        <v>56.0</v>
      </c>
      <c r="C224" s="82" t="s">
        <v>5</v>
      </c>
      <c r="D224" s="87" t="str">
        <f>weights_editor!A60</f>
        <v>SOFT SKILLS</v>
      </c>
      <c r="E224" s="94" t="str">
        <f>weights_editor!B60</f>
        <v>Objectivity &amp; Adaptability</v>
      </c>
      <c r="F224" s="94" t="str">
        <f>weights_editor!C60</f>
        <v>Time management</v>
      </c>
      <c r="G224" s="88">
        <f>weights_editor!J60</f>
        <v>2.4</v>
      </c>
      <c r="H224" s="89">
        <f>weights_editor!K60</f>
        <v>0.1</v>
      </c>
      <c r="I224" s="91" t="s">
        <v>310</v>
      </c>
    </row>
    <row r="225" ht="22.5" customHeight="1">
      <c r="A225" s="80" t="str">
        <f t="shared" si="3"/>
        <v>Senior DeveloperSOFT SKILLSBusiness Acumen</v>
      </c>
      <c r="B225" s="81">
        <v>57.0</v>
      </c>
      <c r="C225" s="82" t="s">
        <v>5</v>
      </c>
      <c r="D225" s="87" t="str">
        <f>weights_editor!A61</f>
        <v>SOFT SKILLS</v>
      </c>
      <c r="E225" s="94" t="str">
        <f>weights_editor!B61</f>
        <v>Business Acumen</v>
      </c>
      <c r="F225" s="94" t="str">
        <f>weights_editor!C61</f>
        <v/>
      </c>
      <c r="G225" s="88">
        <f>weights_editor!J61</f>
        <v>1.8</v>
      </c>
      <c r="H225" s="89">
        <f>weights_editor!K61</f>
        <v>0.1</v>
      </c>
      <c r="I225" s="90"/>
    </row>
    <row r="226" ht="22.5" customHeight="1">
      <c r="A226" s="80" t="str">
        <f t="shared" si="3"/>
        <v>Senior DeveloperSOFT SKILLSBusiness AcumenUnderstanding level</v>
      </c>
      <c r="B226" s="81">
        <v>58.0</v>
      </c>
      <c r="C226" s="82" t="s">
        <v>5</v>
      </c>
      <c r="D226" s="87" t="str">
        <f>weights_editor!A62</f>
        <v>SOFT SKILLS</v>
      </c>
      <c r="E226" s="94" t="str">
        <f>weights_editor!B62</f>
        <v>Business Acumen</v>
      </c>
      <c r="F226" s="94" t="str">
        <f>weights_editor!C62</f>
        <v>Understanding level</v>
      </c>
      <c r="G226" s="88">
        <f>weights_editor!J62</f>
        <v>1.8</v>
      </c>
      <c r="H226" s="89">
        <f>weights_editor!K62</f>
        <v>1</v>
      </c>
      <c r="I226" s="91" t="s">
        <v>311</v>
      </c>
    </row>
    <row r="227" ht="22.5" customHeight="1">
      <c r="A227" s="80" t="str">
        <f t="shared" si="3"/>
        <v>Senior DeveloperLEADERSHIP</v>
      </c>
      <c r="B227" s="81">
        <v>59.0</v>
      </c>
      <c r="C227" s="82" t="s">
        <v>5</v>
      </c>
      <c r="D227" s="93" t="str">
        <f>weights_editor!A64</f>
        <v>LEADERSHIP</v>
      </c>
      <c r="E227" s="94" t="str">
        <f>weights_editor!B64</f>
        <v/>
      </c>
      <c r="F227" s="94" t="str">
        <f>weights_editor!C64</f>
        <v/>
      </c>
      <c r="G227" s="84">
        <f>weights_editor!J64</f>
        <v>1.2755</v>
      </c>
      <c r="H227" s="85">
        <f>weights_editor!K64</f>
        <v>0.1</v>
      </c>
      <c r="I227" s="92"/>
    </row>
    <row r="228" ht="22.5" customHeight="1">
      <c r="A228" s="80" t="str">
        <f t="shared" si="3"/>
        <v>Senior DeveloperLEADERSHIPHiring and Org Design</v>
      </c>
      <c r="B228" s="81">
        <v>60.0</v>
      </c>
      <c r="C228" s="82" t="s">
        <v>5</v>
      </c>
      <c r="D228" s="87" t="str">
        <f>weights_editor!A65</f>
        <v>LEADERSHIP</v>
      </c>
      <c r="E228" s="94" t="str">
        <f>weights_editor!B65</f>
        <v>Hiring and Org Design</v>
      </c>
      <c r="F228" s="94" t="str">
        <f>weights_editor!C65</f>
        <v/>
      </c>
      <c r="G228" s="88">
        <f>weights_editor!J65</f>
        <v>0.48</v>
      </c>
      <c r="H228" s="89">
        <f>weights_editor!K65</f>
        <v>0.3</v>
      </c>
      <c r="I228" s="90" t="s">
        <v>209</v>
      </c>
    </row>
    <row r="229" ht="22.5" customHeight="1">
      <c r="A229" s="80" t="str">
        <f t="shared" si="3"/>
        <v>Senior DeveloperLEADERSHIPHiring and Org DesignDeploying Teams</v>
      </c>
      <c r="B229" s="81">
        <v>61.0</v>
      </c>
      <c r="C229" s="82" t="s">
        <v>5</v>
      </c>
      <c r="D229" s="87" t="str">
        <f>weights_editor!A66</f>
        <v>LEADERSHIP</v>
      </c>
      <c r="E229" s="94" t="str">
        <f>weights_editor!B66</f>
        <v>Hiring and Org Design</v>
      </c>
      <c r="F229" s="94" t="str">
        <f>weights_editor!C66</f>
        <v>Deploying Teams</v>
      </c>
      <c r="G229" s="88">
        <f>weights_editor!J66</f>
        <v>0.2</v>
      </c>
      <c r="H229" s="89">
        <f>weights_editor!K66</f>
        <v>0.4</v>
      </c>
      <c r="I229" s="91" t="s">
        <v>257</v>
      </c>
    </row>
    <row r="230" ht="22.5" customHeight="1">
      <c r="A230" s="80" t="str">
        <f t="shared" si="3"/>
        <v>Senior DeveloperLEADERSHIPHiring and Org DesignEmployer Brand</v>
      </c>
      <c r="B230" s="81">
        <v>62.0</v>
      </c>
      <c r="C230" s="82" t="s">
        <v>5</v>
      </c>
      <c r="D230" s="87" t="str">
        <f>weights_editor!A67</f>
        <v>LEADERSHIP</v>
      </c>
      <c r="E230" s="94" t="str">
        <f>weights_editor!B67</f>
        <v>Hiring and Org Design</v>
      </c>
      <c r="F230" s="94" t="str">
        <f>weights_editor!C67</f>
        <v>Employer Brand</v>
      </c>
      <c r="G230" s="88">
        <f>weights_editor!J67</f>
        <v>1</v>
      </c>
      <c r="H230" s="89">
        <f>weights_editor!K67</f>
        <v>0.4</v>
      </c>
      <c r="I230" s="91" t="s">
        <v>258</v>
      </c>
    </row>
    <row r="231" ht="22.5" customHeight="1">
      <c r="A231" s="80" t="str">
        <f t="shared" si="3"/>
        <v>Senior DeveloperLEADERSHIPHiring and Org DesignHiring</v>
      </c>
      <c r="B231" s="81">
        <v>63.0</v>
      </c>
      <c r="C231" s="82" t="s">
        <v>5</v>
      </c>
      <c r="D231" s="87" t="str">
        <f>weights_editor!A68</f>
        <v>LEADERSHIP</v>
      </c>
      <c r="E231" s="94" t="str">
        <f>weights_editor!B68</f>
        <v>Hiring and Org Design</v>
      </c>
      <c r="F231" s="94" t="str">
        <f>weights_editor!C68</f>
        <v>Hiring</v>
      </c>
      <c r="G231" s="88">
        <f>weights_editor!J68</f>
        <v>0</v>
      </c>
      <c r="H231" s="89">
        <f>weights_editor!K68</f>
        <v>0.2</v>
      </c>
      <c r="I231" s="91" t="s">
        <v>259</v>
      </c>
    </row>
    <row r="232" ht="22.5" customHeight="1">
      <c r="A232" s="80" t="str">
        <f t="shared" si="3"/>
        <v>Senior DeveloperLEADERSHIPStakeholder Management</v>
      </c>
      <c r="B232" s="81">
        <v>64.0</v>
      </c>
      <c r="C232" s="82" t="s">
        <v>5</v>
      </c>
      <c r="D232" s="87" t="str">
        <f>weights_editor!A69</f>
        <v>LEADERSHIP</v>
      </c>
      <c r="E232" s="94" t="str">
        <f>weights_editor!B69</f>
        <v>Stakeholder Management</v>
      </c>
      <c r="F232" s="94" t="str">
        <f>weights_editor!C69</f>
        <v/>
      </c>
      <c r="G232" s="88">
        <f>weights_editor!J69</f>
        <v>1.97</v>
      </c>
      <c r="H232" s="89">
        <f>weights_editor!K69</f>
        <v>0.3</v>
      </c>
      <c r="I232" s="90" t="s">
        <v>312</v>
      </c>
    </row>
    <row r="233" ht="22.5" customHeight="1">
      <c r="A233" s="80" t="str">
        <f t="shared" si="3"/>
        <v>Senior DeveloperLEADERSHIPStakeholder ManagementManaging Goals and Expectations</v>
      </c>
      <c r="B233" s="81">
        <v>65.0</v>
      </c>
      <c r="C233" s="82" t="s">
        <v>5</v>
      </c>
      <c r="D233" s="87" t="str">
        <f>weights_editor!A70</f>
        <v>LEADERSHIP</v>
      </c>
      <c r="E233" s="94" t="str">
        <f>weights_editor!B70</f>
        <v>Stakeholder Management</v>
      </c>
      <c r="F233" s="94" t="str">
        <f>weights_editor!C70</f>
        <v>Managing Goals and Expectations</v>
      </c>
      <c r="G233" s="88">
        <f>weights_editor!J70</f>
        <v>1.7</v>
      </c>
      <c r="H233" s="89">
        <f>weights_editor!K70</f>
        <v>0.4</v>
      </c>
      <c r="I233" s="91" t="s">
        <v>313</v>
      </c>
    </row>
    <row r="234" ht="22.5" customHeight="1">
      <c r="A234" s="80" t="str">
        <f t="shared" si="3"/>
        <v>Senior DeveloperLEADERSHIPStakeholder ManagementForesight</v>
      </c>
      <c r="B234" s="81">
        <v>66.0</v>
      </c>
      <c r="C234" s="82" t="s">
        <v>5</v>
      </c>
      <c r="D234" s="87" t="str">
        <f>weights_editor!A71</f>
        <v>LEADERSHIP</v>
      </c>
      <c r="E234" s="94" t="str">
        <f>weights_editor!B71</f>
        <v>Stakeholder Management</v>
      </c>
      <c r="F234" s="94" t="str">
        <f>weights_editor!C71</f>
        <v>Foresight</v>
      </c>
      <c r="G234" s="88">
        <f>weights_editor!J71</f>
        <v>2</v>
      </c>
      <c r="H234" s="89">
        <f>weights_editor!K71</f>
        <v>0.3</v>
      </c>
      <c r="I234" s="91" t="s">
        <v>314</v>
      </c>
    </row>
    <row r="235" ht="22.5" customHeight="1">
      <c r="A235" s="80" t="str">
        <f t="shared" si="3"/>
        <v>Senior DeveloperLEADERSHIPStakeholder ManagementEngendering Trust</v>
      </c>
      <c r="B235" s="81">
        <v>67.0</v>
      </c>
      <c r="C235" s="82" t="s">
        <v>5</v>
      </c>
      <c r="D235" s="87" t="str">
        <f>weights_editor!A72</f>
        <v>LEADERSHIP</v>
      </c>
      <c r="E235" s="94" t="str">
        <f>weights_editor!B72</f>
        <v>Stakeholder Management</v>
      </c>
      <c r="F235" s="94" t="str">
        <f>weights_editor!C72</f>
        <v>Engendering Trust</v>
      </c>
      <c r="G235" s="88">
        <f>weights_editor!J72</f>
        <v>2.4</v>
      </c>
      <c r="H235" s="89">
        <f>weights_editor!K72</f>
        <v>0.2</v>
      </c>
      <c r="I235" s="91" t="s">
        <v>315</v>
      </c>
    </row>
    <row r="236" ht="22.5" customHeight="1">
      <c r="A236" s="80" t="str">
        <f t="shared" si="3"/>
        <v>Senior DeveloperLEADERSHIPStakeholder ManagementProtecting the Team</v>
      </c>
      <c r="B236" s="81">
        <v>68.0</v>
      </c>
      <c r="C236" s="82" t="s">
        <v>5</v>
      </c>
      <c r="D236" s="87" t="str">
        <f>weights_editor!A73</f>
        <v>LEADERSHIP</v>
      </c>
      <c r="E236" s="94" t="str">
        <f>weights_editor!B73</f>
        <v>Stakeholder Management</v>
      </c>
      <c r="F236" s="94" t="str">
        <f>weights_editor!C73</f>
        <v>Protecting the Team</v>
      </c>
      <c r="G236" s="88">
        <f>weights_editor!J73</f>
        <v>2.1</v>
      </c>
      <c r="H236" s="89">
        <f>weights_editor!K73</f>
        <v>0.1</v>
      </c>
      <c r="I236" s="91" t="s">
        <v>316</v>
      </c>
    </row>
    <row r="237" ht="22.5" customHeight="1">
      <c r="A237" s="80" t="str">
        <f t="shared" si="3"/>
        <v>Senior DeveloperLEADERSHIPTeam Leadership</v>
      </c>
      <c r="B237" s="81">
        <v>69.0</v>
      </c>
      <c r="C237" s="82" t="s">
        <v>5</v>
      </c>
      <c r="D237" s="87" t="str">
        <f>weights_editor!A74</f>
        <v>LEADERSHIP</v>
      </c>
      <c r="E237" s="94" t="str">
        <f>weights_editor!B74</f>
        <v>Team Leadership</v>
      </c>
      <c r="F237" s="94" t="str">
        <f>weights_editor!C74</f>
        <v/>
      </c>
      <c r="G237" s="88">
        <f>weights_editor!J74</f>
        <v>1.59</v>
      </c>
      <c r="H237" s="89">
        <f>weights_editor!K74</f>
        <v>0.2</v>
      </c>
      <c r="I237" s="90" t="s">
        <v>317</v>
      </c>
    </row>
    <row r="238" ht="22.5" customHeight="1">
      <c r="A238" s="80" t="str">
        <f t="shared" si="3"/>
        <v>Senior DeveloperLEADERSHIPTeam LeadershipPutting the Team first</v>
      </c>
      <c r="B238" s="81">
        <v>70.0</v>
      </c>
      <c r="C238" s="82" t="s">
        <v>5</v>
      </c>
      <c r="D238" s="87" t="str">
        <f>weights_editor!A75</f>
        <v>LEADERSHIP</v>
      </c>
      <c r="E238" s="94" t="str">
        <f>weights_editor!B75</f>
        <v>Team Leadership</v>
      </c>
      <c r="F238" s="94" t="str">
        <f>weights_editor!C75</f>
        <v>Putting the Team first</v>
      </c>
      <c r="G238" s="88">
        <f>weights_editor!J75</f>
        <v>2</v>
      </c>
      <c r="H238" s="89">
        <f>weights_editor!K75</f>
        <v>0.5</v>
      </c>
      <c r="I238" s="91" t="s">
        <v>318</v>
      </c>
    </row>
    <row r="239" ht="22.5" customHeight="1">
      <c r="A239" s="80" t="str">
        <f t="shared" si="3"/>
        <v>Senior DeveloperLEADERSHIPTeam LeadershipDifficult Conversations</v>
      </c>
      <c r="B239" s="81">
        <v>71.0</v>
      </c>
      <c r="C239" s="82" t="s">
        <v>5</v>
      </c>
      <c r="D239" s="87" t="str">
        <f>weights_editor!A76</f>
        <v>LEADERSHIP</v>
      </c>
      <c r="E239" s="94" t="str">
        <f>weights_editor!B76</f>
        <v>Team Leadership</v>
      </c>
      <c r="F239" s="94" t="str">
        <f>weights_editor!C76</f>
        <v>Difficult Conversations</v>
      </c>
      <c r="G239" s="88">
        <f>weights_editor!J76</f>
        <v>0.4</v>
      </c>
      <c r="H239" s="89">
        <f>weights_editor!K76</f>
        <v>0.2</v>
      </c>
      <c r="I239" s="91" t="s">
        <v>319</v>
      </c>
    </row>
    <row r="240" ht="22.5" customHeight="1">
      <c r="A240" s="80" t="str">
        <f t="shared" si="3"/>
        <v>Senior DeveloperLEADERSHIPTeam LeadershipReliability</v>
      </c>
      <c r="B240" s="81">
        <v>72.0</v>
      </c>
      <c r="C240" s="82" t="s">
        <v>5</v>
      </c>
      <c r="D240" s="87" t="str">
        <f>weights_editor!A77</f>
        <v>LEADERSHIP</v>
      </c>
      <c r="E240" s="94" t="str">
        <f>weights_editor!B77</f>
        <v>Team Leadership</v>
      </c>
      <c r="F240" s="94" t="str">
        <f>weights_editor!C77</f>
        <v>Reliability</v>
      </c>
      <c r="G240" s="88">
        <f>weights_editor!J77</f>
        <v>1.6</v>
      </c>
      <c r="H240" s="89">
        <f>weights_editor!K77</f>
        <v>0.2</v>
      </c>
      <c r="I240" s="91" t="s">
        <v>320</v>
      </c>
    </row>
    <row r="241" ht="22.5" customHeight="1">
      <c r="A241" s="80" t="str">
        <f t="shared" si="3"/>
        <v>Senior DeveloperLEADERSHIPTeam LeadershipVulnerability</v>
      </c>
      <c r="B241" s="81">
        <v>73.0</v>
      </c>
      <c r="C241" s="82" t="s">
        <v>5</v>
      </c>
      <c r="D241" s="87" t="str">
        <f>weights_editor!A78</f>
        <v>LEADERSHIP</v>
      </c>
      <c r="E241" s="94" t="str">
        <f>weights_editor!B78</f>
        <v>Team Leadership</v>
      </c>
      <c r="F241" s="94" t="str">
        <f>weights_editor!C78</f>
        <v>Vulnerability</v>
      </c>
      <c r="G241" s="88">
        <f>weights_editor!J78</f>
        <v>1.9</v>
      </c>
      <c r="H241" s="89">
        <f>weights_editor!K78</f>
        <v>0.1</v>
      </c>
      <c r="I241" s="91" t="s">
        <v>321</v>
      </c>
    </row>
    <row r="242" ht="22.5" customHeight="1">
      <c r="A242" s="80" t="str">
        <f t="shared" si="3"/>
        <v>Senior DeveloperLEADERSHIPDeveloping Others</v>
      </c>
      <c r="B242" s="81">
        <v>74.0</v>
      </c>
      <c r="C242" s="82" t="s">
        <v>5</v>
      </c>
      <c r="D242" s="87" t="str">
        <f>weights_editor!A79</f>
        <v>LEADERSHIP</v>
      </c>
      <c r="E242" s="94" t="str">
        <f>weights_editor!B79</f>
        <v>Developing Others</v>
      </c>
      <c r="F242" s="94" t="str">
        <f>weights_editor!C79</f>
        <v/>
      </c>
      <c r="G242" s="88">
        <f>weights_editor!J79</f>
        <v>0.93</v>
      </c>
      <c r="H242" s="89">
        <f>weights_editor!K79</f>
        <v>0.15</v>
      </c>
      <c r="I242" s="90" t="s">
        <v>322</v>
      </c>
    </row>
    <row r="243" ht="22.5" customHeight="1">
      <c r="A243" s="80" t="str">
        <f t="shared" si="3"/>
        <v>Senior DeveloperLEADERSHIPDeveloping OthersIdentifying strengths</v>
      </c>
      <c r="B243" s="81">
        <v>75.0</v>
      </c>
      <c r="C243" s="82" t="s">
        <v>5</v>
      </c>
      <c r="D243" s="87" t="str">
        <f>weights_editor!A80</f>
        <v>LEADERSHIP</v>
      </c>
      <c r="E243" s="94" t="str">
        <f>weights_editor!B80</f>
        <v>Developing Others</v>
      </c>
      <c r="F243" s="94" t="str">
        <f>weights_editor!C80</f>
        <v>Identifying strengths</v>
      </c>
      <c r="G243" s="88">
        <f>weights_editor!J80</f>
        <v>0.8</v>
      </c>
      <c r="H243" s="89">
        <f>weights_editor!K80</f>
        <v>0.3</v>
      </c>
      <c r="I243" s="91" t="s">
        <v>323</v>
      </c>
    </row>
    <row r="244" ht="22.5" customHeight="1">
      <c r="A244" s="80" t="str">
        <f t="shared" si="3"/>
        <v>Senior DeveloperLEADERSHIPDeveloping OthersSupporting team growth</v>
      </c>
      <c r="B244" s="81">
        <v>76.0</v>
      </c>
      <c r="C244" s="82" t="s">
        <v>5</v>
      </c>
      <c r="D244" s="87" t="str">
        <f>weights_editor!A81</f>
        <v>LEADERSHIP</v>
      </c>
      <c r="E244" s="94" t="str">
        <f>weights_editor!B81</f>
        <v>Developing Others</v>
      </c>
      <c r="F244" s="94" t="str">
        <f>weights_editor!C81</f>
        <v>Supporting team growth</v>
      </c>
      <c r="G244" s="88">
        <f>weights_editor!J81</f>
        <v>0.8</v>
      </c>
      <c r="H244" s="89">
        <f>weights_editor!K81</f>
        <v>0.4</v>
      </c>
      <c r="I244" s="91" t="s">
        <v>324</v>
      </c>
    </row>
    <row r="245" ht="22.5" customHeight="1">
      <c r="A245" s="80" t="str">
        <f t="shared" si="3"/>
        <v>Senior DeveloperLEADERSHIPDeveloping OthersInvesting in process</v>
      </c>
      <c r="B245" s="81">
        <v>77.0</v>
      </c>
      <c r="C245" s="82" t="s">
        <v>5</v>
      </c>
      <c r="D245" s="87" t="str">
        <f>weights_editor!A82</f>
        <v>LEADERSHIP</v>
      </c>
      <c r="E245" s="94" t="str">
        <f>weights_editor!B82</f>
        <v>Developing Others</v>
      </c>
      <c r="F245" s="94" t="str">
        <f>weights_editor!C82</f>
        <v>Investing in process</v>
      </c>
      <c r="G245" s="88">
        <f>weights_editor!J82</f>
        <v>1.3</v>
      </c>
      <c r="H245" s="89">
        <f>weights_editor!K82</f>
        <v>0.2</v>
      </c>
      <c r="I245" s="91" t="s">
        <v>325</v>
      </c>
    </row>
    <row r="246" ht="22.5" customHeight="1">
      <c r="A246" s="80" t="str">
        <f t="shared" si="3"/>
        <v>Senior DeveloperLEADERSHIPDeveloping OthersFeedback on work</v>
      </c>
      <c r="B246" s="81">
        <v>78.0</v>
      </c>
      <c r="C246" s="82" t="s">
        <v>5</v>
      </c>
      <c r="D246" s="87" t="str">
        <f>weights_editor!A83</f>
        <v>LEADERSHIP</v>
      </c>
      <c r="E246" s="94" t="str">
        <f>weights_editor!B83</f>
        <v>Developing Others</v>
      </c>
      <c r="F246" s="94" t="str">
        <f>weights_editor!C83</f>
        <v>Feedback on work</v>
      </c>
      <c r="G246" s="88">
        <f>weights_editor!J83</f>
        <v>1.1</v>
      </c>
      <c r="H246" s="89">
        <f>weights_editor!K83</f>
        <v>0.1</v>
      </c>
      <c r="I246" s="91" t="s">
        <v>326</v>
      </c>
    </row>
    <row r="247" ht="22.5" customHeight="1">
      <c r="A247" s="80" t="str">
        <f t="shared" si="3"/>
        <v>Senior DeveloperLEADERSHIPCulture &amp; Togetherness</v>
      </c>
      <c r="B247" s="81">
        <v>79.0</v>
      </c>
      <c r="C247" s="82" t="s">
        <v>5</v>
      </c>
      <c r="D247" s="87" t="str">
        <f>weights_editor!A84</f>
        <v>LEADERSHIP</v>
      </c>
      <c r="E247" s="94" t="str">
        <f>weights_editor!B84</f>
        <v>Culture &amp; Togetherness</v>
      </c>
      <c r="F247" s="94" t="str">
        <f>weights_editor!C84</f>
        <v/>
      </c>
      <c r="G247" s="88">
        <f>weights_editor!J84</f>
        <v>1.66</v>
      </c>
      <c r="H247" s="89">
        <f>weights_editor!K84</f>
        <v>0.05</v>
      </c>
      <c r="I247" s="90" t="s">
        <v>327</v>
      </c>
    </row>
    <row r="248" ht="22.5" customHeight="1">
      <c r="A248" s="80" t="str">
        <f t="shared" si="3"/>
        <v>Senior DeveloperLEADERSHIPCulture &amp; TogethernessSetting an Example</v>
      </c>
      <c r="B248" s="81">
        <v>80.0</v>
      </c>
      <c r="C248" s="82" t="s">
        <v>5</v>
      </c>
      <c r="D248" s="87" t="str">
        <f>weights_editor!A85</f>
        <v>LEADERSHIP</v>
      </c>
      <c r="E248" s="94" t="str">
        <f>weights_editor!B85</f>
        <v>Culture &amp; Togetherness</v>
      </c>
      <c r="F248" s="94" t="str">
        <f>weights_editor!C85</f>
        <v>Setting an Example</v>
      </c>
      <c r="G248" s="88">
        <f>weights_editor!J85</f>
        <v>2.1</v>
      </c>
      <c r="H248" s="89">
        <f>weights_editor!K85</f>
        <v>0.5</v>
      </c>
      <c r="I248" s="91" t="s">
        <v>328</v>
      </c>
    </row>
    <row r="249" ht="22.5" customHeight="1">
      <c r="A249" s="80" t="str">
        <f t="shared" si="3"/>
        <v>Senior DeveloperLEADERSHIPCulture &amp; TogethernessEncouraging diverse opinions</v>
      </c>
      <c r="B249" s="81">
        <v>81.0</v>
      </c>
      <c r="C249" s="82" t="s">
        <v>5</v>
      </c>
      <c r="D249" s="87" t="str">
        <f>weights_editor!A86</f>
        <v>LEADERSHIP</v>
      </c>
      <c r="E249" s="94" t="str">
        <f>weights_editor!B86</f>
        <v>Culture &amp; Togetherness</v>
      </c>
      <c r="F249" s="94" t="str">
        <f>weights_editor!C86</f>
        <v>Encouraging diverse opinions</v>
      </c>
      <c r="G249" s="88">
        <f>weights_editor!J86</f>
        <v>1.1</v>
      </c>
      <c r="H249" s="89">
        <f>weights_editor!K86</f>
        <v>0.3</v>
      </c>
      <c r="I249" s="91" t="s">
        <v>329</v>
      </c>
    </row>
    <row r="250" ht="22.5" customHeight="1">
      <c r="A250" s="80" t="str">
        <f t="shared" si="3"/>
        <v>Senior DeveloperLEADERSHIPCulture &amp; TogethernessDeveloping personal relationships</v>
      </c>
      <c r="B250" s="81">
        <v>82.0</v>
      </c>
      <c r="C250" s="82" t="s">
        <v>5</v>
      </c>
      <c r="D250" s="87" t="str">
        <f>weights_editor!A87</f>
        <v>LEADERSHIP</v>
      </c>
      <c r="E250" s="94" t="str">
        <f>weights_editor!B87</f>
        <v>Culture &amp; Togetherness</v>
      </c>
      <c r="F250" s="94" t="str">
        <f>weights_editor!C87</f>
        <v>Developing personal relationships</v>
      </c>
      <c r="G250" s="88">
        <f>weights_editor!J87</f>
        <v>1.4</v>
      </c>
      <c r="H250" s="89">
        <f>weights_editor!K87</f>
        <v>0.2</v>
      </c>
      <c r="I250" s="91" t="s">
        <v>330</v>
      </c>
    </row>
    <row r="251" ht="22.5" customHeight="1">
      <c r="A251" s="80" t="str">
        <f>TRIM(C251&amp;D251&amp;E251&amp;F251)</f>
        <v>Staff DeveloperENGINEERING CRAFT</v>
      </c>
      <c r="B251" s="81">
        <v>0.0</v>
      </c>
      <c r="C251" s="82" t="s">
        <v>75</v>
      </c>
      <c r="D251" s="93" t="str">
        <f>weights_editor!A3</f>
        <v>ENGINEERING CRAFT</v>
      </c>
      <c r="E251" s="94" t="str">
        <f>weights_editor!B3</f>
        <v/>
      </c>
      <c r="F251" s="94" t="str">
        <f>weights_editor!C3</f>
        <v/>
      </c>
      <c r="G251" s="84">
        <f>weights_editor!M3</f>
        <v>2.9905</v>
      </c>
      <c r="H251" s="85">
        <f>weights_editor!N3</f>
        <v>0.4</v>
      </c>
      <c r="I251" s="86"/>
    </row>
    <row r="252" ht="22.5" customHeight="1">
      <c r="A252" s="80" t="str">
        <f t="shared" ref="A252:A333" si="4">C252&amp;D252&amp;E252&amp;F252</f>
        <v>Staff DeveloperENGINEERING CRAFTWriting Code</v>
      </c>
      <c r="B252" s="81">
        <v>1.0</v>
      </c>
      <c r="C252" s="82" t="s">
        <v>75</v>
      </c>
      <c r="D252" s="87" t="str">
        <f>weights_editor!A4</f>
        <v>ENGINEERING CRAFT</v>
      </c>
      <c r="E252" s="94" t="str">
        <f>weights_editor!B4</f>
        <v>Writing Code</v>
      </c>
      <c r="F252" s="94" t="str">
        <f>weights_editor!C4</f>
        <v/>
      </c>
      <c r="G252" s="88">
        <f>weights_editor!M4</f>
        <v>3.15</v>
      </c>
      <c r="H252" s="89">
        <f>weights_editor!N4</f>
        <v>0.3</v>
      </c>
      <c r="I252" s="90" t="s">
        <v>331</v>
      </c>
    </row>
    <row r="253" ht="22.5" customHeight="1">
      <c r="A253" s="80" t="str">
        <f t="shared" si="4"/>
        <v>Staff DeveloperENGINEERING CRAFTWriting CodeQuality</v>
      </c>
      <c r="B253" s="81">
        <v>2.0</v>
      </c>
      <c r="C253" s="82" t="s">
        <v>75</v>
      </c>
      <c r="D253" s="87" t="str">
        <f>weights_editor!A5</f>
        <v>ENGINEERING CRAFT</v>
      </c>
      <c r="E253" s="94" t="str">
        <f>weights_editor!B5</f>
        <v>Writing Code</v>
      </c>
      <c r="F253" s="94" t="str">
        <f>weights_editor!C5</f>
        <v>Quality</v>
      </c>
      <c r="G253" s="88">
        <f>weights_editor!M5</f>
        <v>3.2</v>
      </c>
      <c r="H253" s="89">
        <f>weights_editor!N5</f>
        <v>0.4</v>
      </c>
      <c r="I253" s="91" t="s">
        <v>332</v>
      </c>
    </row>
    <row r="254" ht="22.5" customHeight="1">
      <c r="A254" s="80" t="str">
        <f t="shared" si="4"/>
        <v>Staff DeveloperENGINEERING CRAFTWriting CodeDocumentation</v>
      </c>
      <c r="B254" s="81">
        <v>3.0</v>
      </c>
      <c r="C254" s="82" t="s">
        <v>75</v>
      </c>
      <c r="D254" s="87" t="str">
        <f>weights_editor!A6</f>
        <v>ENGINEERING CRAFT</v>
      </c>
      <c r="E254" s="94" t="str">
        <f>weights_editor!B6</f>
        <v>Writing Code</v>
      </c>
      <c r="F254" s="94" t="str">
        <f>weights_editor!C6</f>
        <v>Documentation</v>
      </c>
      <c r="G254" s="88">
        <f>weights_editor!M6</f>
        <v>3</v>
      </c>
      <c r="H254" s="89">
        <f>weights_editor!N6</f>
        <v>0.2</v>
      </c>
      <c r="I254" s="91" t="s">
        <v>333</v>
      </c>
    </row>
    <row r="255" ht="22.5" customHeight="1">
      <c r="A255" s="80" t="str">
        <f t="shared" si="4"/>
        <v>Staff DeveloperENGINEERING CRAFTWriting CodeLanguage</v>
      </c>
      <c r="B255" s="81">
        <v>4.0</v>
      </c>
      <c r="C255" s="82" t="s">
        <v>75</v>
      </c>
      <c r="D255" s="87" t="str">
        <f>weights_editor!A7</f>
        <v>ENGINEERING CRAFT</v>
      </c>
      <c r="E255" s="94" t="str">
        <f>weights_editor!B7</f>
        <v>Writing Code</v>
      </c>
      <c r="F255" s="94" t="str">
        <f>weights_editor!C7</f>
        <v>Language</v>
      </c>
      <c r="G255" s="88">
        <f>weights_editor!M7</f>
        <v>3.4</v>
      </c>
      <c r="H255" s="89">
        <f>weights_editor!N7</f>
        <v>0.3</v>
      </c>
      <c r="I255" s="91" t="s">
        <v>334</v>
      </c>
    </row>
    <row r="256" ht="22.5" customHeight="1">
      <c r="A256" s="80" t="str">
        <f t="shared" si="4"/>
        <v>Staff DeveloperENGINEERING CRAFTWriting CodeMentoring</v>
      </c>
      <c r="B256" s="81">
        <v>5.0</v>
      </c>
      <c r="C256" s="82" t="s">
        <v>75</v>
      </c>
      <c r="D256" s="87" t="str">
        <f>weights_editor!A8</f>
        <v>ENGINEERING CRAFT</v>
      </c>
      <c r="E256" s="94" t="str">
        <f>weights_editor!B8</f>
        <v>Writing Code</v>
      </c>
      <c r="F256" s="94" t="str">
        <f>weights_editor!C8</f>
        <v>Mentoring</v>
      </c>
      <c r="G256" s="88">
        <f>weights_editor!M8</f>
        <v>2.5</v>
      </c>
      <c r="H256" s="89">
        <f>weights_editor!N8</f>
        <v>0.1</v>
      </c>
      <c r="I256" s="91" t="s">
        <v>335</v>
      </c>
    </row>
    <row r="257" ht="22.5" customHeight="1">
      <c r="A257" s="80" t="str">
        <f t="shared" si="4"/>
        <v>Staff DeveloperENGINEERING CRAFTTesting</v>
      </c>
      <c r="B257" s="81">
        <v>6.0</v>
      </c>
      <c r="C257" s="82" t="s">
        <v>75</v>
      </c>
      <c r="D257" s="87" t="str">
        <f>weights_editor!A9</f>
        <v>ENGINEERING CRAFT</v>
      </c>
      <c r="E257" s="94" t="str">
        <f>weights_editor!B9</f>
        <v>Testing</v>
      </c>
      <c r="F257" s="94" t="str">
        <f>weights_editor!C9</f>
        <v/>
      </c>
      <c r="G257" s="88">
        <f>weights_editor!M9</f>
        <v>2.5</v>
      </c>
      <c r="H257" s="89">
        <f>weights_editor!N9</f>
        <v>0.15</v>
      </c>
      <c r="I257" s="90" t="s">
        <v>336</v>
      </c>
    </row>
    <row r="258" ht="22.5" customHeight="1">
      <c r="A258" s="80" t="str">
        <f t="shared" si="4"/>
        <v>Staff DeveloperENGINEERING CRAFTTestingTesting your code</v>
      </c>
      <c r="B258" s="81">
        <v>7.0</v>
      </c>
      <c r="C258" s="82" t="s">
        <v>75</v>
      </c>
      <c r="D258" s="87" t="str">
        <f>weights_editor!A10</f>
        <v>ENGINEERING CRAFT</v>
      </c>
      <c r="E258" s="94" t="str">
        <f>weights_editor!B10</f>
        <v>Testing</v>
      </c>
      <c r="F258" s="94" t="str">
        <f>weights_editor!C10</f>
        <v>Testing your code</v>
      </c>
      <c r="G258" s="88">
        <f>weights_editor!M10</f>
        <v>3.6</v>
      </c>
      <c r="H258" s="89">
        <f>weights_editor!N10</f>
        <v>0</v>
      </c>
      <c r="I258" s="91" t="s">
        <v>167</v>
      </c>
    </row>
    <row r="259" ht="22.5" customHeight="1">
      <c r="A259" s="80" t="str">
        <f t="shared" si="4"/>
        <v>Staff DeveloperENGINEERING CRAFTTestingImproving coverage</v>
      </c>
      <c r="B259" s="81">
        <v>8.0</v>
      </c>
      <c r="C259" s="82" t="s">
        <v>75</v>
      </c>
      <c r="D259" s="87" t="str">
        <f>weights_editor!A11</f>
        <v>ENGINEERING CRAFT</v>
      </c>
      <c r="E259" s="94" t="str">
        <f>weights_editor!B11</f>
        <v>Testing</v>
      </c>
      <c r="F259" s="94" t="str">
        <f>weights_editor!C11</f>
        <v>Improving coverage</v>
      </c>
      <c r="G259" s="88">
        <f>weights_editor!M11</f>
        <v>3.2</v>
      </c>
      <c r="H259" s="89">
        <f>weights_editor!N11</f>
        <v>0</v>
      </c>
      <c r="I259" s="91" t="s">
        <v>167</v>
      </c>
    </row>
    <row r="260" ht="22.5" customHeight="1">
      <c r="A260" s="80" t="str">
        <f t="shared" si="4"/>
        <v>Staff DeveloperENGINEERING CRAFTTestingTaking responsibility</v>
      </c>
      <c r="B260" s="81">
        <v>9.0</v>
      </c>
      <c r="C260" s="82" t="s">
        <v>75</v>
      </c>
      <c r="D260" s="87" t="str">
        <f>weights_editor!A12</f>
        <v>ENGINEERING CRAFT</v>
      </c>
      <c r="E260" s="94" t="str">
        <f>weights_editor!B12</f>
        <v>Testing</v>
      </c>
      <c r="F260" s="94" t="str">
        <f>weights_editor!C12</f>
        <v>Taking responsibility</v>
      </c>
      <c r="G260" s="88">
        <f>weights_editor!M12</f>
        <v>2.8</v>
      </c>
      <c r="H260" s="89">
        <f>weights_editor!N12</f>
        <v>0</v>
      </c>
      <c r="I260" s="91" t="s">
        <v>167</v>
      </c>
    </row>
    <row r="261" ht="22.5" customHeight="1">
      <c r="A261" s="80" t="str">
        <f t="shared" si="4"/>
        <v>Staff DeveloperENGINEERING CRAFTTestingLeading testing strategy</v>
      </c>
      <c r="B261" s="81">
        <v>10.0</v>
      </c>
      <c r="C261" s="82" t="s">
        <v>75</v>
      </c>
      <c r="D261" s="87" t="str">
        <f>weights_editor!A13</f>
        <v>ENGINEERING CRAFT</v>
      </c>
      <c r="E261" s="94" t="str">
        <f>weights_editor!B13</f>
        <v>Testing</v>
      </c>
      <c r="F261" s="94" t="str">
        <f>weights_editor!C13</f>
        <v>Leading testing strategy</v>
      </c>
      <c r="G261" s="88">
        <f>weights_editor!M13</f>
        <v>2.5</v>
      </c>
      <c r="H261" s="89">
        <f>weights_editor!N13</f>
        <v>0.5</v>
      </c>
      <c r="I261" s="91" t="s">
        <v>337</v>
      </c>
    </row>
    <row r="262" ht="22.5" customHeight="1">
      <c r="A262" s="80" t="str">
        <f t="shared" si="4"/>
        <v>Staff DeveloperENGINEERING CRAFTTestingAdvocating for testing</v>
      </c>
      <c r="B262" s="81">
        <v>11.0</v>
      </c>
      <c r="C262" s="82" t="s">
        <v>75</v>
      </c>
      <c r="D262" s="87" t="str">
        <f>weights_editor!A14</f>
        <v>ENGINEERING CRAFT</v>
      </c>
      <c r="E262" s="94" t="str">
        <f>weights_editor!B14</f>
        <v>Testing</v>
      </c>
      <c r="F262" s="94" t="str">
        <f>weights_editor!C14</f>
        <v>Advocating for testing</v>
      </c>
      <c r="G262" s="88">
        <f>weights_editor!M14</f>
        <v>2.5</v>
      </c>
      <c r="H262" s="89">
        <f>weights_editor!N14</f>
        <v>0.5</v>
      </c>
      <c r="I262" s="91" t="s">
        <v>338</v>
      </c>
    </row>
    <row r="263" ht="22.5" customHeight="1">
      <c r="A263" s="80" t="str">
        <f t="shared" si="4"/>
        <v>Staff DeveloperENGINEERING CRAFTTechnical Understanding &amp; Prioritisation</v>
      </c>
      <c r="B263" s="81">
        <v>12.0</v>
      </c>
      <c r="C263" s="82" t="s">
        <v>75</v>
      </c>
      <c r="D263" s="87" t="str">
        <f>weights_editor!A15</f>
        <v>ENGINEERING CRAFT</v>
      </c>
      <c r="E263" s="94" t="str">
        <f>weights_editor!B15</f>
        <v>Technical Understanding &amp; Prioritisation</v>
      </c>
      <c r="F263" s="94" t="str">
        <f>weights_editor!C15</f>
        <v/>
      </c>
      <c r="G263" s="88">
        <f>weights_editor!M15</f>
        <v>3.25</v>
      </c>
      <c r="H263" s="89">
        <f>weights_editor!N15</f>
        <v>0.15</v>
      </c>
      <c r="I263" s="90" t="s">
        <v>339</v>
      </c>
    </row>
    <row r="264" ht="22.5" customHeight="1">
      <c r="A264" s="80" t="str">
        <f t="shared" si="4"/>
        <v>Staff DeveloperENGINEERING CRAFTTechnical Understanding &amp; PrioritisationUnderstanding code</v>
      </c>
      <c r="B264" s="81">
        <v>13.0</v>
      </c>
      <c r="C264" s="82" t="s">
        <v>75</v>
      </c>
      <c r="D264" s="87" t="str">
        <f>weights_editor!A16</f>
        <v>ENGINEERING CRAFT</v>
      </c>
      <c r="E264" s="94" t="str">
        <f>weights_editor!B16</f>
        <v>Technical Understanding &amp; Prioritisation</v>
      </c>
      <c r="F264" s="94" t="str">
        <f>weights_editor!C16</f>
        <v>Understanding code</v>
      </c>
      <c r="G264" s="88">
        <f>weights_editor!M16</f>
        <v>3.4</v>
      </c>
      <c r="H264" s="89">
        <f>weights_editor!N16</f>
        <v>0.5</v>
      </c>
      <c r="I264" s="91" t="s">
        <v>340</v>
      </c>
    </row>
    <row r="265" ht="22.5" customHeight="1">
      <c r="A265" s="80" t="str">
        <f t="shared" si="4"/>
        <v>Staff DeveloperENGINEERING CRAFTTechnical Understanding &amp; PrioritisationTechnical collaboration</v>
      </c>
      <c r="B265" s="81">
        <v>14.0</v>
      </c>
      <c r="C265" s="82" t="s">
        <v>75</v>
      </c>
      <c r="D265" s="87" t="str">
        <f>weights_editor!A17</f>
        <v>ENGINEERING CRAFT</v>
      </c>
      <c r="E265" s="94" t="str">
        <f>weights_editor!B17</f>
        <v>Technical Understanding &amp; Prioritisation</v>
      </c>
      <c r="F265" s="94" t="str">
        <f>weights_editor!C17</f>
        <v>Technical collaboration</v>
      </c>
      <c r="G265" s="88">
        <f>weights_editor!M17</f>
        <v>3.2</v>
      </c>
      <c r="H265" s="89">
        <f>weights_editor!N17</f>
        <v>0.25</v>
      </c>
      <c r="I265" s="91" t="s">
        <v>341</v>
      </c>
    </row>
    <row r="266" ht="22.5" customHeight="1">
      <c r="A266" s="80" t="str">
        <f t="shared" si="4"/>
        <v>Staff DeveloperENGINEERING CRAFTTechnical Understanding &amp; PrioritisationWork breakdown</v>
      </c>
      <c r="B266" s="81">
        <v>15.0</v>
      </c>
      <c r="C266" s="82" t="s">
        <v>75</v>
      </c>
      <c r="D266" s="87" t="str">
        <f>weights_editor!A18</f>
        <v>ENGINEERING CRAFT</v>
      </c>
      <c r="E266" s="94" t="str">
        <f>weights_editor!B18</f>
        <v>Technical Understanding &amp; Prioritisation</v>
      </c>
      <c r="F266" s="94" t="str">
        <f>weights_editor!C18</f>
        <v>Work breakdown</v>
      </c>
      <c r="G266" s="88">
        <f>weights_editor!M18</f>
        <v>3</v>
      </c>
      <c r="H266" s="89">
        <f>weights_editor!N18</f>
        <v>0.15</v>
      </c>
      <c r="I266" s="91" t="s">
        <v>342</v>
      </c>
    </row>
    <row r="267" ht="22.5" customHeight="1">
      <c r="A267" s="80" t="str">
        <f t="shared" si="4"/>
        <v>Staff DeveloperENGINEERING CRAFTTechnical Understanding &amp; PrioritisationTask prioritisation</v>
      </c>
      <c r="B267" s="81">
        <v>16.0</v>
      </c>
      <c r="C267" s="82" t="s">
        <v>75</v>
      </c>
      <c r="D267" s="87" t="str">
        <f>weights_editor!A19</f>
        <v>ENGINEERING CRAFT</v>
      </c>
      <c r="E267" s="94" t="str">
        <f>weights_editor!B19</f>
        <v>Technical Understanding &amp; Prioritisation</v>
      </c>
      <c r="F267" s="94" t="str">
        <f>weights_editor!C19</f>
        <v>Task prioritisation</v>
      </c>
      <c r="G267" s="88">
        <f>weights_editor!M19</f>
        <v>3</v>
      </c>
      <c r="H267" s="89">
        <f>weights_editor!N19</f>
        <v>0.1</v>
      </c>
      <c r="I267" s="91" t="s">
        <v>343</v>
      </c>
    </row>
    <row r="268" ht="22.5" customHeight="1">
      <c r="A268" s="80" t="str">
        <f t="shared" si="4"/>
        <v>Staff DeveloperENGINEERING CRAFTSoftware Architecture</v>
      </c>
      <c r="B268" s="81">
        <v>17.0</v>
      </c>
      <c r="C268" s="82" t="s">
        <v>75</v>
      </c>
      <c r="D268" s="87" t="str">
        <f>weights_editor!A20</f>
        <v>ENGINEERING CRAFT</v>
      </c>
      <c r="E268" s="94" t="str">
        <f>weights_editor!B20</f>
        <v>Software Architecture</v>
      </c>
      <c r="F268" s="94" t="str">
        <f>weights_editor!C20</f>
        <v/>
      </c>
      <c r="G268" s="88">
        <f>weights_editor!M20</f>
        <v>2.78</v>
      </c>
      <c r="H268" s="89">
        <f>weights_editor!N20</f>
        <v>0.15</v>
      </c>
      <c r="I268" s="90" t="s">
        <v>344</v>
      </c>
    </row>
    <row r="269" ht="22.5" customHeight="1">
      <c r="A269" s="80" t="str">
        <f t="shared" si="4"/>
        <v>Staff DeveloperENGINEERING CRAFTSoftware ArchitectureReaction to feedback</v>
      </c>
      <c r="B269" s="81">
        <v>18.0</v>
      </c>
      <c r="C269" s="82" t="s">
        <v>75</v>
      </c>
      <c r="D269" s="87" t="str">
        <f>weights_editor!A21</f>
        <v>ENGINEERING CRAFT</v>
      </c>
      <c r="E269" s="94" t="str">
        <f>weights_editor!B21</f>
        <v>Software Architecture</v>
      </c>
      <c r="F269" s="94" t="str">
        <f>weights_editor!C21</f>
        <v>Reaction to feedback</v>
      </c>
      <c r="G269" s="88">
        <f>weights_editor!M21</f>
        <v>3.5</v>
      </c>
      <c r="H269" s="89">
        <f>weights_editor!N21</f>
        <v>0</v>
      </c>
      <c r="I269" s="91" t="s">
        <v>167</v>
      </c>
    </row>
    <row r="270" ht="22.5" customHeight="1">
      <c r="A270" s="80" t="str">
        <f t="shared" si="4"/>
        <v>Staff DeveloperENGINEERING CRAFTSoftware ArchitectureCode</v>
      </c>
      <c r="B270" s="81">
        <v>19.0</v>
      </c>
      <c r="C270" s="82" t="s">
        <v>75</v>
      </c>
      <c r="D270" s="87" t="str">
        <f>weights_editor!A22</f>
        <v>ENGINEERING CRAFT</v>
      </c>
      <c r="E270" s="94" t="str">
        <f>weights_editor!B22</f>
        <v>Software Architecture</v>
      </c>
      <c r="F270" s="94" t="str">
        <f>weights_editor!C22</f>
        <v>Code</v>
      </c>
      <c r="G270" s="88">
        <f>weights_editor!M22</f>
        <v>3.4</v>
      </c>
      <c r="H270" s="89">
        <f>weights_editor!N22</f>
        <v>0</v>
      </c>
      <c r="I270" s="91" t="s">
        <v>167</v>
      </c>
    </row>
    <row r="271" ht="22.5" customHeight="1">
      <c r="A271" s="80" t="str">
        <f t="shared" si="4"/>
        <v>Staff DeveloperENGINEERING CRAFTSoftware ArchitectureDesign</v>
      </c>
      <c r="B271" s="81">
        <v>20.0</v>
      </c>
      <c r="C271" s="82" t="s">
        <v>75</v>
      </c>
      <c r="D271" s="87" t="str">
        <f>weights_editor!A23</f>
        <v>ENGINEERING CRAFT</v>
      </c>
      <c r="E271" s="94" t="str">
        <f>weights_editor!B23</f>
        <v>Software Architecture</v>
      </c>
      <c r="F271" s="94" t="str">
        <f>weights_editor!C23</f>
        <v>Design</v>
      </c>
      <c r="G271" s="88">
        <f>weights_editor!M23</f>
        <v>2.5</v>
      </c>
      <c r="H271" s="89">
        <f>weights_editor!N23</f>
        <v>0.4</v>
      </c>
      <c r="I271" s="91" t="s">
        <v>345</v>
      </c>
    </row>
    <row r="272" ht="22.5" customHeight="1">
      <c r="A272" s="80" t="str">
        <f t="shared" si="4"/>
        <v>Staff DeveloperENGINEERING CRAFTSoftware ArchitectureDevelopment</v>
      </c>
      <c r="B272" s="81">
        <v>21.0</v>
      </c>
      <c r="C272" s="82" t="s">
        <v>75</v>
      </c>
      <c r="D272" s="87" t="str">
        <f>weights_editor!A24</f>
        <v>ENGINEERING CRAFT</v>
      </c>
      <c r="E272" s="94" t="str">
        <f>weights_editor!B24</f>
        <v>Software Architecture</v>
      </c>
      <c r="F272" s="94" t="str">
        <f>weights_editor!C24</f>
        <v>Development</v>
      </c>
      <c r="G272" s="88">
        <f>weights_editor!M24</f>
        <v>3</v>
      </c>
      <c r="H272" s="89">
        <f>weights_editor!N24</f>
        <v>0.4</v>
      </c>
      <c r="I272" s="91" t="s">
        <v>346</v>
      </c>
    </row>
    <row r="273" ht="22.5" customHeight="1">
      <c r="A273" s="80" t="str">
        <f t="shared" si="4"/>
        <v>Staff DeveloperENGINEERING CRAFTSoftware ArchitectureTechnical debt</v>
      </c>
      <c r="B273" s="81">
        <v>22.0</v>
      </c>
      <c r="C273" s="82" t="s">
        <v>75</v>
      </c>
      <c r="D273" s="87" t="str">
        <f>weights_editor!A25</f>
        <v>ENGINEERING CRAFT</v>
      </c>
      <c r="E273" s="94" t="str">
        <f>weights_editor!B25</f>
        <v>Software Architecture</v>
      </c>
      <c r="F273" s="94" t="str">
        <f>weights_editor!C25</f>
        <v>Technical debt</v>
      </c>
      <c r="G273" s="88">
        <f>weights_editor!M25</f>
        <v>2.9</v>
      </c>
      <c r="H273" s="89">
        <f>weights_editor!N25</f>
        <v>0.2</v>
      </c>
      <c r="I273" s="91" t="s">
        <v>347</v>
      </c>
    </row>
    <row r="274" ht="22.5" customHeight="1">
      <c r="A274" s="80" t="str">
        <f t="shared" si="4"/>
        <v>Staff DeveloperENGINEERING CRAFTSecurity</v>
      </c>
      <c r="B274" s="81">
        <v>23.0</v>
      </c>
      <c r="C274" s="82" t="s">
        <v>75</v>
      </c>
      <c r="D274" s="87" t="str">
        <f>weights_editor!A26</f>
        <v>ENGINEERING CRAFT</v>
      </c>
      <c r="E274" s="94" t="str">
        <f>weights_editor!B26</f>
        <v>Security</v>
      </c>
      <c r="F274" s="94" t="str">
        <f>weights_editor!C26</f>
        <v/>
      </c>
      <c r="G274" s="88">
        <f>weights_editor!M26</f>
        <v>3.19</v>
      </c>
      <c r="H274" s="89">
        <f>weights_editor!N26</f>
        <v>0.1</v>
      </c>
      <c r="I274" s="90" t="s">
        <v>348</v>
      </c>
    </row>
    <row r="275" ht="22.5" customHeight="1">
      <c r="A275" s="80" t="str">
        <f t="shared" si="4"/>
        <v>Staff DeveloperENGINEERING CRAFTSecurityKnowledge</v>
      </c>
      <c r="B275" s="81">
        <v>24.0</v>
      </c>
      <c r="C275" s="82" t="s">
        <v>75</v>
      </c>
      <c r="D275" s="87" t="str">
        <f>weights_editor!A27</f>
        <v>ENGINEERING CRAFT</v>
      </c>
      <c r="E275" s="94" t="str">
        <f>weights_editor!B27</f>
        <v>Security</v>
      </c>
      <c r="F275" s="94" t="str">
        <f>weights_editor!C27</f>
        <v>Knowledge</v>
      </c>
      <c r="G275" s="88">
        <f>weights_editor!M27</f>
        <v>3.6</v>
      </c>
      <c r="H275" s="89">
        <f>weights_editor!N27</f>
        <v>0.3</v>
      </c>
      <c r="I275" s="91" t="s">
        <v>349</v>
      </c>
    </row>
    <row r="276" ht="22.5" customHeight="1">
      <c r="A276" s="80" t="str">
        <f t="shared" si="4"/>
        <v>Staff DeveloperENGINEERING CRAFTSecurityUser data</v>
      </c>
      <c r="B276" s="81">
        <v>25.0</v>
      </c>
      <c r="C276" s="82" t="s">
        <v>75</v>
      </c>
      <c r="D276" s="87" t="str">
        <f>weights_editor!A28</f>
        <v>ENGINEERING CRAFT</v>
      </c>
      <c r="E276" s="94" t="str">
        <f>weights_editor!B28</f>
        <v>Security</v>
      </c>
      <c r="F276" s="94" t="str">
        <f>weights_editor!C28</f>
        <v>User data</v>
      </c>
      <c r="G276" s="88">
        <f>weights_editor!M28</f>
        <v>3.7</v>
      </c>
      <c r="H276" s="89">
        <f>weights_editor!N28</f>
        <v>0.3</v>
      </c>
      <c r="I276" s="91" t="s">
        <v>350</v>
      </c>
    </row>
    <row r="277" ht="22.5" customHeight="1">
      <c r="A277" s="80" t="str">
        <f t="shared" si="4"/>
        <v>Staff DeveloperENGINEERING CRAFTSecurityReporting</v>
      </c>
      <c r="B277" s="81">
        <v>26.0</v>
      </c>
      <c r="C277" s="82" t="s">
        <v>75</v>
      </c>
      <c r="D277" s="87" t="str">
        <f>weights_editor!A29</f>
        <v>ENGINEERING CRAFT</v>
      </c>
      <c r="E277" s="94" t="str">
        <f>weights_editor!B29</f>
        <v>Security</v>
      </c>
      <c r="F277" s="94" t="str">
        <f>weights_editor!C29</f>
        <v>Reporting</v>
      </c>
      <c r="G277" s="88">
        <f>weights_editor!M29</f>
        <v>3.2</v>
      </c>
      <c r="H277" s="89">
        <f>weights_editor!N29</f>
        <v>0</v>
      </c>
      <c r="I277" s="91" t="s">
        <v>167</v>
      </c>
    </row>
    <row r="278" ht="22.5" customHeight="1">
      <c r="A278" s="80" t="str">
        <f t="shared" si="4"/>
        <v>Staff DeveloperENGINEERING CRAFTSecurityProactivity</v>
      </c>
      <c r="B278" s="81">
        <v>27.0</v>
      </c>
      <c r="C278" s="82" t="s">
        <v>75</v>
      </c>
      <c r="D278" s="87" t="str">
        <f>weights_editor!A30</f>
        <v>ENGINEERING CRAFT</v>
      </c>
      <c r="E278" s="94" t="str">
        <f>weights_editor!B30</f>
        <v>Security</v>
      </c>
      <c r="F278" s="94" t="str">
        <f>weights_editor!C30</f>
        <v>Proactivity</v>
      </c>
      <c r="G278" s="88">
        <f>weights_editor!M30</f>
        <v>2.9</v>
      </c>
      <c r="H278" s="89">
        <f>weights_editor!N30</f>
        <v>0</v>
      </c>
      <c r="I278" s="91" t="s">
        <v>167</v>
      </c>
    </row>
    <row r="279" ht="22.5" customHeight="1">
      <c r="A279" s="80" t="str">
        <f t="shared" si="4"/>
        <v>Staff DeveloperENGINEERING CRAFTSecurityCollaboration</v>
      </c>
      <c r="B279" s="81">
        <v>28.0</v>
      </c>
      <c r="C279" s="82" t="s">
        <v>75</v>
      </c>
      <c r="D279" s="87" t="str">
        <f>weights_editor!A31</f>
        <v>ENGINEERING CRAFT</v>
      </c>
      <c r="E279" s="94" t="str">
        <f>weights_editor!B31</f>
        <v>Security</v>
      </c>
      <c r="F279" s="94" t="str">
        <f>weights_editor!C31</f>
        <v>Collaboration</v>
      </c>
      <c r="G279" s="88">
        <f>weights_editor!M31</f>
        <v>3</v>
      </c>
      <c r="H279" s="89">
        <f>weights_editor!N31</f>
        <v>0</v>
      </c>
      <c r="I279" s="91" t="s">
        <v>167</v>
      </c>
    </row>
    <row r="280" ht="22.5" customHeight="1">
      <c r="A280" s="80" t="str">
        <f t="shared" si="4"/>
        <v>Staff DeveloperENGINEERING CRAFTSecurityStrategy</v>
      </c>
      <c r="B280" s="81">
        <v>29.0</v>
      </c>
      <c r="C280" s="82" t="s">
        <v>75</v>
      </c>
      <c r="D280" s="87" t="str">
        <f>weights_editor!A32</f>
        <v>ENGINEERING CRAFT</v>
      </c>
      <c r="E280" s="94" t="str">
        <f>weights_editor!B32</f>
        <v>Security</v>
      </c>
      <c r="F280" s="94" t="str">
        <f>weights_editor!C32</f>
        <v>Strategy</v>
      </c>
      <c r="G280" s="88">
        <f>weights_editor!M32</f>
        <v>2.5</v>
      </c>
      <c r="H280" s="89">
        <f>weights_editor!N32</f>
        <v>0.4</v>
      </c>
      <c r="I280" s="91" t="s">
        <v>351</v>
      </c>
    </row>
    <row r="281" ht="22.5" customHeight="1">
      <c r="A281" s="80" t="str">
        <f t="shared" si="4"/>
        <v>Staff DeveloperENGINEERING CRAFTDebugging &amp; Monitoring</v>
      </c>
      <c r="B281" s="81">
        <v>30.0</v>
      </c>
      <c r="C281" s="82" t="s">
        <v>75</v>
      </c>
      <c r="D281" s="87" t="str">
        <f>weights_editor!A33</f>
        <v>ENGINEERING CRAFT</v>
      </c>
      <c r="E281" s="94" t="str">
        <f>weights_editor!B33</f>
        <v>Debugging &amp; Monitoring</v>
      </c>
      <c r="F281" s="94" t="str">
        <f>weights_editor!C33</f>
        <v/>
      </c>
      <c r="G281" s="88">
        <f>weights_editor!M33</f>
        <v>2.98</v>
      </c>
      <c r="H281" s="89">
        <f>weights_editor!N33</f>
        <v>0.15</v>
      </c>
      <c r="I281" s="90" t="s">
        <v>352</v>
      </c>
    </row>
    <row r="282" ht="22.5" customHeight="1">
      <c r="A282" s="80" t="str">
        <f t="shared" si="4"/>
        <v>Staff DeveloperENGINEERING CRAFTDebugging &amp; MonitoringDebugging</v>
      </c>
      <c r="B282" s="81">
        <v>31.0</v>
      </c>
      <c r="C282" s="82" t="s">
        <v>75</v>
      </c>
      <c r="D282" s="87" t="str">
        <f>weights_editor!A34</f>
        <v>ENGINEERING CRAFT</v>
      </c>
      <c r="E282" s="94" t="str">
        <f>weights_editor!B34</f>
        <v>Debugging &amp; Monitoring</v>
      </c>
      <c r="F282" s="94" t="str">
        <f>weights_editor!C34</f>
        <v>Debugging</v>
      </c>
      <c r="G282" s="88">
        <f>weights_editor!M34</f>
        <v>3.4</v>
      </c>
      <c r="H282" s="89">
        <f>weights_editor!N34</f>
        <v>0.3</v>
      </c>
      <c r="I282" s="91" t="s">
        <v>353</v>
      </c>
    </row>
    <row r="283" ht="22.5" customHeight="1">
      <c r="A283" s="80" t="str">
        <f t="shared" si="4"/>
        <v>Staff DeveloperENGINEERING CRAFTDebugging &amp; MonitoringTools</v>
      </c>
      <c r="B283" s="81">
        <v>32.0</v>
      </c>
      <c r="C283" s="82" t="s">
        <v>75</v>
      </c>
      <c r="D283" s="87" t="str">
        <f>weights_editor!A35</f>
        <v>ENGINEERING CRAFT</v>
      </c>
      <c r="E283" s="94" t="str">
        <f>weights_editor!B35</f>
        <v>Debugging &amp; Monitoring</v>
      </c>
      <c r="F283" s="94" t="str">
        <f>weights_editor!C35</f>
        <v>Tools</v>
      </c>
      <c r="G283" s="88">
        <f>weights_editor!M35</f>
        <v>3.2</v>
      </c>
      <c r="H283" s="89">
        <f>weights_editor!N35</f>
        <v>0</v>
      </c>
      <c r="I283" s="91" t="s">
        <v>167</v>
      </c>
    </row>
    <row r="284" ht="22.5" customHeight="1">
      <c r="A284" s="80" t="str">
        <f t="shared" si="4"/>
        <v>Staff DeveloperENGINEERING CRAFTDebugging &amp; MonitoringPhilosophy</v>
      </c>
      <c r="B284" s="81">
        <v>33.0</v>
      </c>
      <c r="C284" s="82" t="s">
        <v>75</v>
      </c>
      <c r="D284" s="87" t="str">
        <f>weights_editor!A36</f>
        <v>ENGINEERING CRAFT</v>
      </c>
      <c r="E284" s="94" t="str">
        <f>weights_editor!B36</f>
        <v>Debugging &amp; Monitoring</v>
      </c>
      <c r="F284" s="94" t="str">
        <f>weights_editor!C36</f>
        <v>Philosophy</v>
      </c>
      <c r="G284" s="88">
        <f>weights_editor!M36</f>
        <v>2.9</v>
      </c>
      <c r="H284" s="89">
        <f>weights_editor!N36</f>
        <v>0.2</v>
      </c>
      <c r="I284" s="91" t="s">
        <v>354</v>
      </c>
    </row>
    <row r="285" ht="22.5" customHeight="1">
      <c r="A285" s="80" t="str">
        <f t="shared" si="4"/>
        <v>Staff DeveloperENGINEERING CRAFTDebugging &amp; MonitoringData</v>
      </c>
      <c r="B285" s="81">
        <v>34.0</v>
      </c>
      <c r="C285" s="82" t="s">
        <v>75</v>
      </c>
      <c r="D285" s="87" t="str">
        <f>weights_editor!A37</f>
        <v>ENGINEERING CRAFT</v>
      </c>
      <c r="E285" s="94" t="str">
        <f>weights_editor!B37</f>
        <v>Debugging &amp; Monitoring</v>
      </c>
      <c r="F285" s="94" t="str">
        <f>weights_editor!C37</f>
        <v>Data</v>
      </c>
      <c r="G285" s="88">
        <f>weights_editor!M37</f>
        <v>3</v>
      </c>
      <c r="H285" s="89">
        <f>weights_editor!N37</f>
        <v>0.2</v>
      </c>
      <c r="I285" s="91" t="s">
        <v>355</v>
      </c>
    </row>
    <row r="286" ht="22.5" customHeight="1">
      <c r="A286" s="80" t="str">
        <f t="shared" si="4"/>
        <v>Staff DeveloperENGINEERING CRAFTDebugging &amp; MonitoringProfiling</v>
      </c>
      <c r="B286" s="81">
        <v>35.0</v>
      </c>
      <c r="C286" s="82" t="s">
        <v>75</v>
      </c>
      <c r="D286" s="87" t="str">
        <f>weights_editor!A38</f>
        <v>ENGINEERING CRAFT</v>
      </c>
      <c r="E286" s="94" t="str">
        <f>weights_editor!B38</f>
        <v>Debugging &amp; Monitoring</v>
      </c>
      <c r="F286" s="94" t="str">
        <f>weights_editor!C38</f>
        <v>Profiling</v>
      </c>
      <c r="G286" s="88">
        <f>weights_editor!M38</f>
        <v>2.9</v>
      </c>
      <c r="H286" s="89">
        <f>weights_editor!N38</f>
        <v>0.2</v>
      </c>
      <c r="I286" s="91" t="s">
        <v>356</v>
      </c>
    </row>
    <row r="287" ht="22.5" customHeight="1">
      <c r="A287" s="80" t="str">
        <f t="shared" si="4"/>
        <v>Staff DeveloperENGINEERING CRAFTDebugging &amp; MonitoringMentoring</v>
      </c>
      <c r="B287" s="81">
        <v>36.0</v>
      </c>
      <c r="C287" s="82" t="s">
        <v>75</v>
      </c>
      <c r="D287" s="87" t="str">
        <f>weights_editor!A39</f>
        <v>ENGINEERING CRAFT</v>
      </c>
      <c r="E287" s="94" t="str">
        <f>weights_editor!B39</f>
        <v>Debugging &amp; Monitoring</v>
      </c>
      <c r="F287" s="94" t="str">
        <f>weights_editor!C39</f>
        <v>Mentoring</v>
      </c>
      <c r="G287" s="88">
        <f>weights_editor!M39</f>
        <v>2</v>
      </c>
      <c r="H287" s="89">
        <f>weights_editor!N39</f>
        <v>0.1</v>
      </c>
      <c r="I287" s="91" t="s">
        <v>357</v>
      </c>
    </row>
    <row r="288" ht="22.5" customHeight="1">
      <c r="A288" s="80" t="str">
        <f t="shared" si="4"/>
        <v>Staff DeveloperSOFT SKILLS</v>
      </c>
      <c r="B288" s="81">
        <v>37.0</v>
      </c>
      <c r="C288" s="82" t="s">
        <v>75</v>
      </c>
      <c r="D288" s="93" t="str">
        <f>weights_editor!A41</f>
        <v>SOFT SKILLS</v>
      </c>
      <c r="E288" s="94" t="str">
        <f>weights_editor!B41</f>
        <v/>
      </c>
      <c r="F288" s="94" t="str">
        <f>weights_editor!C41</f>
        <v/>
      </c>
      <c r="G288" s="84">
        <f>weights_editor!M41</f>
        <v>2.807</v>
      </c>
      <c r="H288" s="85">
        <f>weights_editor!N41</f>
        <v>0.4</v>
      </c>
      <c r="I288" s="92"/>
    </row>
    <row r="289" ht="22.5" customHeight="1">
      <c r="A289" s="80" t="str">
        <f t="shared" si="4"/>
        <v>Staff DeveloperSOFT SKILLSEmpathy &amp; Humility</v>
      </c>
      <c r="B289" s="81">
        <v>38.0</v>
      </c>
      <c r="C289" s="82" t="s">
        <v>75</v>
      </c>
      <c r="D289" s="87" t="str">
        <f>weights_editor!A42</f>
        <v>SOFT SKILLS</v>
      </c>
      <c r="E289" s="94" t="str">
        <f>weights_editor!B42</f>
        <v>Empathy &amp; Humility</v>
      </c>
      <c r="F289" s="94" t="str">
        <f>weights_editor!C42</f>
        <v/>
      </c>
      <c r="G289" s="88">
        <f>weights_editor!M42</f>
        <v>3</v>
      </c>
      <c r="H289" s="89">
        <f>weights_editor!N42</f>
        <v>0.4</v>
      </c>
      <c r="I289" s="90" t="s">
        <v>358</v>
      </c>
    </row>
    <row r="290" ht="22.5" customHeight="1">
      <c r="A290" s="80" t="str">
        <f t="shared" si="4"/>
        <v>Staff DeveloperSOFT SKILLSEmpathy &amp; HumilityCredit and blame</v>
      </c>
      <c r="B290" s="81">
        <v>39.0</v>
      </c>
      <c r="C290" s="82" t="s">
        <v>75</v>
      </c>
      <c r="D290" s="87" t="str">
        <f>weights_editor!A43</f>
        <v>SOFT SKILLS</v>
      </c>
      <c r="E290" s="94" t="str">
        <f>weights_editor!B43</f>
        <v>Empathy &amp; Humility</v>
      </c>
      <c r="F290" s="94" t="str">
        <f>weights_editor!C43</f>
        <v>Credit and blame</v>
      </c>
      <c r="G290" s="88">
        <f>weights_editor!M43</f>
        <v>3.2</v>
      </c>
      <c r="H290" s="89">
        <f>weights_editor!N43</f>
        <v>0.3</v>
      </c>
      <c r="I290" s="91" t="s">
        <v>359</v>
      </c>
    </row>
    <row r="291" ht="22.5" customHeight="1">
      <c r="A291" s="80" t="str">
        <f t="shared" si="4"/>
        <v>Staff DeveloperSOFT SKILLSEmpathy &amp; HumilityUnderstanding others</v>
      </c>
      <c r="B291" s="81">
        <v>40.0</v>
      </c>
      <c r="C291" s="82" t="s">
        <v>75</v>
      </c>
      <c r="D291" s="87" t="str">
        <f>weights_editor!A44</f>
        <v>SOFT SKILLS</v>
      </c>
      <c r="E291" s="94" t="str">
        <f>weights_editor!B44</f>
        <v>Empathy &amp; Humility</v>
      </c>
      <c r="F291" s="94" t="str">
        <f>weights_editor!C44</f>
        <v>Understanding others</v>
      </c>
      <c r="G291" s="88">
        <f>weights_editor!M44</f>
        <v>3.2</v>
      </c>
      <c r="H291" s="89">
        <f>weights_editor!N44</f>
        <v>0.3</v>
      </c>
      <c r="I291" s="91" t="s">
        <v>360</v>
      </c>
    </row>
    <row r="292" ht="22.5" customHeight="1">
      <c r="A292" s="80" t="str">
        <f t="shared" si="4"/>
        <v>Staff DeveloperSOFT SKILLSEmpathy &amp; HumilityMediation and facilitation</v>
      </c>
      <c r="B292" s="81">
        <v>41.0</v>
      </c>
      <c r="C292" s="82" t="s">
        <v>75</v>
      </c>
      <c r="D292" s="87" t="str">
        <f>weights_editor!A45</f>
        <v>SOFT SKILLS</v>
      </c>
      <c r="E292" s="94" t="str">
        <f>weights_editor!B45</f>
        <v>Empathy &amp; Humility</v>
      </c>
      <c r="F292" s="94" t="str">
        <f>weights_editor!C45</f>
        <v>Mediation and facilitation</v>
      </c>
      <c r="G292" s="88">
        <f>weights_editor!M45</f>
        <v>2.9</v>
      </c>
      <c r="H292" s="89">
        <f>weights_editor!N45</f>
        <v>0.2</v>
      </c>
      <c r="I292" s="91" t="s">
        <v>361</v>
      </c>
    </row>
    <row r="293" ht="22.5" customHeight="1">
      <c r="A293" s="80" t="str">
        <f t="shared" si="4"/>
        <v>Staff DeveloperSOFT SKILLSEmpathy &amp; HumilityMentoring</v>
      </c>
      <c r="B293" s="81">
        <v>42.0</v>
      </c>
      <c r="C293" s="82" t="s">
        <v>75</v>
      </c>
      <c r="D293" s="87" t="str">
        <f>weights_editor!A46</f>
        <v>SOFT SKILLS</v>
      </c>
      <c r="E293" s="94" t="str">
        <f>weights_editor!B46</f>
        <v>Empathy &amp; Humility</v>
      </c>
      <c r="F293" s="94" t="str">
        <f>weights_editor!C46</f>
        <v>Mentoring</v>
      </c>
      <c r="G293" s="88">
        <f>weights_editor!M46</f>
        <v>2.5</v>
      </c>
      <c r="H293" s="89">
        <f>weights_editor!N46</f>
        <v>0.2</v>
      </c>
      <c r="I293" s="91" t="s">
        <v>362</v>
      </c>
    </row>
    <row r="294" ht="22.5" customHeight="1">
      <c r="A294" s="80" t="str">
        <f t="shared" si="4"/>
        <v>Staff DeveloperSOFT SKILLSCommunication</v>
      </c>
      <c r="B294" s="81">
        <v>43.0</v>
      </c>
      <c r="C294" s="82" t="s">
        <v>75</v>
      </c>
      <c r="D294" s="87" t="str">
        <f>weights_editor!A47</f>
        <v>SOFT SKILLS</v>
      </c>
      <c r="E294" s="94" t="str">
        <f>weights_editor!B47</f>
        <v>Communication</v>
      </c>
      <c r="F294" s="94" t="str">
        <f>weights_editor!C47</f>
        <v/>
      </c>
      <c r="G294" s="88">
        <f>weights_editor!M47</f>
        <v>2.39</v>
      </c>
      <c r="H294" s="89">
        <f>weights_editor!N47</f>
        <v>0.2</v>
      </c>
      <c r="I294" s="90" t="s">
        <v>363</v>
      </c>
    </row>
    <row r="295" ht="22.5" customHeight="1">
      <c r="A295" s="80" t="str">
        <f t="shared" si="4"/>
        <v>Staff DeveloperSOFT SKILLSCommunicationKeeping people informed</v>
      </c>
      <c r="B295" s="81">
        <v>44.0</v>
      </c>
      <c r="C295" s="82" t="s">
        <v>75</v>
      </c>
      <c r="D295" s="87" t="str">
        <f>weights_editor!A48</f>
        <v>SOFT SKILLS</v>
      </c>
      <c r="E295" s="94" t="str">
        <f>weights_editor!B48</f>
        <v>Communication</v>
      </c>
      <c r="F295" s="94" t="str">
        <f>weights_editor!C48</f>
        <v>Keeping people informed</v>
      </c>
      <c r="G295" s="88">
        <f>weights_editor!M48</f>
        <v>2.4</v>
      </c>
      <c r="H295" s="89">
        <f>weights_editor!N48</f>
        <v>0.5</v>
      </c>
      <c r="I295" s="91" t="s">
        <v>364</v>
      </c>
    </row>
    <row r="296" ht="22.5" customHeight="1">
      <c r="A296" s="80" t="str">
        <f t="shared" si="4"/>
        <v>Staff DeveloperSOFT SKILLSCommunicationLooking for feedback</v>
      </c>
      <c r="B296" s="81">
        <v>45.0</v>
      </c>
      <c r="C296" s="82" t="s">
        <v>75</v>
      </c>
      <c r="D296" s="87" t="str">
        <f>weights_editor!A49</f>
        <v>SOFT SKILLS</v>
      </c>
      <c r="E296" s="94" t="str">
        <f>weights_editor!B49</f>
        <v>Communication</v>
      </c>
      <c r="F296" s="94" t="str">
        <f>weights_editor!C49</f>
        <v>Looking for feedback</v>
      </c>
      <c r="G296" s="88">
        <f>weights_editor!M49</f>
        <v>3.2</v>
      </c>
      <c r="H296" s="89">
        <f>weights_editor!N49</f>
        <v>0.2</v>
      </c>
      <c r="I296" s="91" t="s">
        <v>365</v>
      </c>
    </row>
    <row r="297" ht="22.5" customHeight="1">
      <c r="A297" s="80" t="str">
        <f t="shared" si="4"/>
        <v>Staff DeveloperSOFT SKILLSCommunicationDelivering bad news</v>
      </c>
      <c r="B297" s="81">
        <v>46.0</v>
      </c>
      <c r="C297" s="82" t="s">
        <v>75</v>
      </c>
      <c r="D297" s="87" t="str">
        <f>weights_editor!A50</f>
        <v>SOFT SKILLS</v>
      </c>
      <c r="E297" s="94" t="str">
        <f>weights_editor!B50</f>
        <v>Communication</v>
      </c>
      <c r="F297" s="94" t="str">
        <f>weights_editor!C50</f>
        <v>Delivering bad news</v>
      </c>
      <c r="G297" s="88">
        <f>weights_editor!M50</f>
        <v>2</v>
      </c>
      <c r="H297" s="89">
        <f>weights_editor!N50</f>
        <v>0.2</v>
      </c>
      <c r="I297" s="91" t="s">
        <v>366</v>
      </c>
    </row>
    <row r="298" ht="22.5" customHeight="1">
      <c r="A298" s="80" t="str">
        <f t="shared" si="4"/>
        <v>Staff DeveloperSOFT SKILLSCommunicationMentoring communicators</v>
      </c>
      <c r="B298" s="81">
        <v>47.0</v>
      </c>
      <c r="C298" s="82" t="s">
        <v>75</v>
      </c>
      <c r="D298" s="87" t="str">
        <f>weights_editor!A51</f>
        <v>SOFT SKILLS</v>
      </c>
      <c r="E298" s="94" t="str">
        <f>weights_editor!B51</f>
        <v>Communication</v>
      </c>
      <c r="F298" s="94" t="str">
        <f>weights_editor!C51</f>
        <v>Mentoring communicators</v>
      </c>
      <c r="G298" s="88">
        <f>weights_editor!M51</f>
        <v>1.5</v>
      </c>
      <c r="H298" s="89">
        <f>weights_editor!N51</f>
        <v>0.1</v>
      </c>
      <c r="I298" s="91" t="s">
        <v>367</v>
      </c>
    </row>
    <row r="299" ht="22.5" customHeight="1">
      <c r="A299" s="80" t="str">
        <f t="shared" si="4"/>
        <v>Staff DeveloperSOFT SKILLSInitiative</v>
      </c>
      <c r="B299" s="81">
        <v>48.0</v>
      </c>
      <c r="C299" s="82" t="s">
        <v>75</v>
      </c>
      <c r="D299" s="87" t="str">
        <f>weights_editor!A52</f>
        <v>SOFT SKILLS</v>
      </c>
      <c r="E299" s="94" t="str">
        <f>weights_editor!B52</f>
        <v>Initiative</v>
      </c>
      <c r="F299" s="94" t="str">
        <f>weights_editor!C52</f>
        <v/>
      </c>
      <c r="G299" s="88">
        <f>weights_editor!M52</f>
        <v>2.8</v>
      </c>
      <c r="H299" s="89">
        <f>weights_editor!N52</f>
        <v>0.2</v>
      </c>
      <c r="I299" s="90" t="s">
        <v>368</v>
      </c>
    </row>
    <row r="300" ht="22.5" customHeight="1">
      <c r="A300" s="80" t="str">
        <f t="shared" si="4"/>
        <v>Staff DeveloperSOFT SKILLSInitiativeCan-do attitude</v>
      </c>
      <c r="B300" s="81">
        <v>49.0</v>
      </c>
      <c r="C300" s="82" t="s">
        <v>75</v>
      </c>
      <c r="D300" s="87" t="str">
        <f>weights_editor!A53</f>
        <v>SOFT SKILLS</v>
      </c>
      <c r="E300" s="94" t="str">
        <f>weights_editor!B53</f>
        <v>Initiative</v>
      </c>
      <c r="F300" s="94" t="str">
        <f>weights_editor!C53</f>
        <v>Can-do attitude</v>
      </c>
      <c r="G300" s="88">
        <f>weights_editor!M53</f>
        <v>3.2</v>
      </c>
      <c r="H300" s="89">
        <f>weights_editor!N53</f>
        <v>0.5</v>
      </c>
      <c r="I300" s="91" t="s">
        <v>369</v>
      </c>
    </row>
    <row r="301" ht="22.5" customHeight="1">
      <c r="A301" s="80" t="str">
        <f t="shared" si="4"/>
        <v>Staff DeveloperSOFT SKILLSInitiativePro-activity in seeking help</v>
      </c>
      <c r="B301" s="81">
        <v>50.0</v>
      </c>
      <c r="C301" s="82" t="s">
        <v>75</v>
      </c>
      <c r="D301" s="87" t="str">
        <f>weights_editor!A54</f>
        <v>SOFT SKILLS</v>
      </c>
      <c r="E301" s="94" t="str">
        <f>weights_editor!B54</f>
        <v>Initiative</v>
      </c>
      <c r="F301" s="94" t="str">
        <f>weights_editor!C54</f>
        <v>Pro-activity in seeking help</v>
      </c>
      <c r="G301" s="88">
        <f>weights_editor!M54</f>
        <v>2.6</v>
      </c>
      <c r="H301" s="89">
        <f>weights_editor!N54</f>
        <v>0.25</v>
      </c>
      <c r="I301" s="91" t="s">
        <v>370</v>
      </c>
    </row>
    <row r="302" ht="22.5" customHeight="1">
      <c r="A302" s="80" t="str">
        <f t="shared" si="4"/>
        <v>Staff DeveloperSOFT SKILLSInitiativeFollow through</v>
      </c>
      <c r="B302" s="81">
        <v>51.0</v>
      </c>
      <c r="C302" s="82" t="s">
        <v>75</v>
      </c>
      <c r="D302" s="87" t="str">
        <f>weights_editor!A55</f>
        <v>SOFT SKILLS</v>
      </c>
      <c r="E302" s="94" t="str">
        <f>weights_editor!B55</f>
        <v>Initiative</v>
      </c>
      <c r="F302" s="94" t="str">
        <f>weights_editor!C55</f>
        <v>Follow through</v>
      </c>
      <c r="G302" s="88">
        <f>weights_editor!M55</f>
        <v>2.2</v>
      </c>
      <c r="H302" s="89">
        <f>weights_editor!N55</f>
        <v>0.25</v>
      </c>
      <c r="I302" s="91" t="s">
        <v>371</v>
      </c>
    </row>
    <row r="303" ht="22.5" customHeight="1">
      <c r="A303" s="80" t="str">
        <f t="shared" si="4"/>
        <v>Staff DeveloperSOFT SKILLSObjectivity &amp; Adaptability</v>
      </c>
      <c r="B303" s="81">
        <v>52.0</v>
      </c>
      <c r="C303" s="82" t="s">
        <v>75</v>
      </c>
      <c r="D303" s="87" t="str">
        <f>weights_editor!A56</f>
        <v>SOFT SKILLS</v>
      </c>
      <c r="E303" s="94" t="str">
        <f>weights_editor!B56</f>
        <v>Objectivity &amp; Adaptability</v>
      </c>
      <c r="F303" s="94" t="str">
        <f>weights_editor!C56</f>
        <v/>
      </c>
      <c r="G303" s="88">
        <f>weights_editor!M56</f>
        <v>3.29</v>
      </c>
      <c r="H303" s="89">
        <f>weights_editor!N56</f>
        <v>0.1</v>
      </c>
      <c r="I303" s="90" t="s">
        <v>372</v>
      </c>
    </row>
    <row r="304" ht="22.5" customHeight="1">
      <c r="A304" s="80" t="str">
        <f t="shared" si="4"/>
        <v>Staff DeveloperSOFT SKILLSObjectivity &amp; AdaptabilityEfficient decision-making</v>
      </c>
      <c r="B304" s="81">
        <v>53.0</v>
      </c>
      <c r="C304" s="82" t="s">
        <v>75</v>
      </c>
      <c r="D304" s="87" t="str">
        <f>weights_editor!A57</f>
        <v>SOFT SKILLS</v>
      </c>
      <c r="E304" s="94" t="str">
        <f>weights_editor!B57</f>
        <v>Objectivity &amp; Adaptability</v>
      </c>
      <c r="F304" s="94" t="str">
        <f>weights_editor!C57</f>
        <v>Efficient decision-making</v>
      </c>
      <c r="G304" s="88">
        <f>weights_editor!M57</f>
        <v>3.2</v>
      </c>
      <c r="H304" s="89">
        <f>weights_editor!N57</f>
        <v>0.5</v>
      </c>
      <c r="I304" s="91" t="s">
        <v>373</v>
      </c>
    </row>
    <row r="305" ht="22.5" customHeight="1">
      <c r="A305" s="80" t="str">
        <f t="shared" si="4"/>
        <v>Staff DeveloperSOFT SKILLSObjectivity &amp; AdaptabilitySelf improvement</v>
      </c>
      <c r="B305" s="81">
        <v>54.0</v>
      </c>
      <c r="C305" s="82" t="s">
        <v>75</v>
      </c>
      <c r="D305" s="87" t="str">
        <f>weights_editor!A58</f>
        <v>SOFT SKILLS</v>
      </c>
      <c r="E305" s="94" t="str">
        <f>weights_editor!B58</f>
        <v>Objectivity &amp; Adaptability</v>
      </c>
      <c r="F305" s="94" t="str">
        <f>weights_editor!C58</f>
        <v>Self improvement</v>
      </c>
      <c r="G305" s="88">
        <f>weights_editor!M58</f>
        <v>3.8</v>
      </c>
      <c r="H305" s="89">
        <f>weights_editor!N58</f>
        <v>0.2</v>
      </c>
      <c r="I305" s="91" t="s">
        <v>374</v>
      </c>
    </row>
    <row r="306" ht="22.5" customHeight="1">
      <c r="A306" s="80" t="str">
        <f t="shared" si="4"/>
        <v>Staff DeveloperSOFT SKILLSObjectivity &amp; AdaptabilityObjectivity</v>
      </c>
      <c r="B306" s="81">
        <v>55.0</v>
      </c>
      <c r="C306" s="82" t="s">
        <v>75</v>
      </c>
      <c r="D306" s="87" t="str">
        <f>weights_editor!A59</f>
        <v>SOFT SKILLS</v>
      </c>
      <c r="E306" s="94" t="str">
        <f>weights_editor!B59</f>
        <v>Objectivity &amp; Adaptability</v>
      </c>
      <c r="F306" s="94" t="str">
        <f>weights_editor!C59</f>
        <v>Objectivity</v>
      </c>
      <c r="G306" s="88">
        <f>weights_editor!M59</f>
        <v>3.2</v>
      </c>
      <c r="H306" s="89">
        <f>weights_editor!N59</f>
        <v>0.2</v>
      </c>
      <c r="I306" s="91" t="s">
        <v>375</v>
      </c>
    </row>
    <row r="307" ht="22.5" customHeight="1">
      <c r="A307" s="80" t="str">
        <f t="shared" si="4"/>
        <v>Staff DeveloperSOFT SKILLSObjectivity &amp; AdaptabilityTime management</v>
      </c>
      <c r="B307" s="81">
        <v>56.0</v>
      </c>
      <c r="C307" s="82" t="s">
        <v>75</v>
      </c>
      <c r="D307" s="87" t="str">
        <f>weights_editor!A60</f>
        <v>SOFT SKILLS</v>
      </c>
      <c r="E307" s="94" t="str">
        <f>weights_editor!B60</f>
        <v>Objectivity &amp; Adaptability</v>
      </c>
      <c r="F307" s="94" t="str">
        <f>weights_editor!C60</f>
        <v>Time management</v>
      </c>
      <c r="G307" s="88">
        <f>weights_editor!M60</f>
        <v>2.9</v>
      </c>
      <c r="H307" s="89">
        <f>weights_editor!N60</f>
        <v>0.1</v>
      </c>
      <c r="I307" s="91" t="s">
        <v>376</v>
      </c>
    </row>
    <row r="308" ht="22.5" customHeight="1">
      <c r="A308" s="80" t="str">
        <f t="shared" si="4"/>
        <v>Staff DeveloperSOFT SKILLSBusiness Acumen</v>
      </c>
      <c r="B308" s="81">
        <v>57.0</v>
      </c>
      <c r="C308" s="82" t="s">
        <v>75</v>
      </c>
      <c r="D308" s="87" t="str">
        <f>weights_editor!A61</f>
        <v>SOFT SKILLS</v>
      </c>
      <c r="E308" s="94" t="str">
        <f>weights_editor!B61</f>
        <v>Business Acumen</v>
      </c>
      <c r="F308" s="94" t="str">
        <f>weights_editor!C61</f>
        <v/>
      </c>
      <c r="G308" s="88">
        <f>weights_editor!M61</f>
        <v>2.4</v>
      </c>
      <c r="H308" s="89">
        <f>weights_editor!N61</f>
        <v>0.1</v>
      </c>
      <c r="I308" s="90" t="s">
        <v>377</v>
      </c>
    </row>
    <row r="309" ht="22.5" customHeight="1">
      <c r="A309" s="80" t="str">
        <f t="shared" si="4"/>
        <v>Staff DeveloperSOFT SKILLSBusiness AcumenUnderstanding level</v>
      </c>
      <c r="B309" s="81">
        <v>58.0</v>
      </c>
      <c r="C309" s="82" t="s">
        <v>75</v>
      </c>
      <c r="D309" s="87" t="str">
        <f>weights_editor!A62</f>
        <v>SOFT SKILLS</v>
      </c>
      <c r="E309" s="94" t="str">
        <f>weights_editor!B62</f>
        <v>Business Acumen</v>
      </c>
      <c r="F309" s="94" t="str">
        <f>weights_editor!C62</f>
        <v>Understanding level</v>
      </c>
      <c r="G309" s="88">
        <f>weights_editor!M62</f>
        <v>2.4</v>
      </c>
      <c r="H309" s="89">
        <f>weights_editor!N62</f>
        <v>1</v>
      </c>
      <c r="I309" s="91" t="s">
        <v>378</v>
      </c>
    </row>
    <row r="310" ht="22.5" customHeight="1">
      <c r="A310" s="80" t="str">
        <f t="shared" si="4"/>
        <v>Staff DeveloperLEADERSHIP</v>
      </c>
      <c r="B310" s="81">
        <v>59.0</v>
      </c>
      <c r="C310" s="82" t="s">
        <v>75</v>
      </c>
      <c r="D310" s="93" t="str">
        <f>weights_editor!A64</f>
        <v>LEADERSHIP</v>
      </c>
      <c r="E310" s="94" t="str">
        <f>weights_editor!B64</f>
        <v/>
      </c>
      <c r="F310" s="94" t="str">
        <f>weights_editor!C64</f>
        <v/>
      </c>
      <c r="G310" s="84">
        <f>weights_editor!M64</f>
        <v>1.598</v>
      </c>
      <c r="H310" s="85">
        <f>weights_editor!N64</f>
        <v>0.2</v>
      </c>
      <c r="I310" s="92"/>
    </row>
    <row r="311" ht="22.5" customHeight="1">
      <c r="A311" s="80" t="str">
        <f t="shared" si="4"/>
        <v>Staff DeveloperLEADERSHIPHiring and Org Design</v>
      </c>
      <c r="B311" s="81">
        <v>60.0</v>
      </c>
      <c r="C311" s="82" t="s">
        <v>75</v>
      </c>
      <c r="D311" s="87" t="str">
        <f>weights_editor!A65</f>
        <v>LEADERSHIP</v>
      </c>
      <c r="E311" s="94" t="str">
        <f>weights_editor!B65</f>
        <v>Hiring and Org Design</v>
      </c>
      <c r="F311" s="94" t="str">
        <f>weights_editor!C65</f>
        <v/>
      </c>
      <c r="G311" s="88">
        <f>weights_editor!M65</f>
        <v>0.95</v>
      </c>
      <c r="H311" s="89">
        <f>weights_editor!N65</f>
        <v>0.4</v>
      </c>
      <c r="I311" s="90" t="s">
        <v>379</v>
      </c>
    </row>
    <row r="312" ht="22.5" customHeight="1">
      <c r="A312" s="80" t="str">
        <f t="shared" si="4"/>
        <v>Staff DeveloperLEADERSHIPHiring and Org DesignDeploying Teams</v>
      </c>
      <c r="B312" s="81">
        <v>61.0</v>
      </c>
      <c r="C312" s="82" t="s">
        <v>75</v>
      </c>
      <c r="D312" s="87" t="str">
        <f>weights_editor!A66</f>
        <v>LEADERSHIP</v>
      </c>
      <c r="E312" s="94" t="str">
        <f>weights_editor!B66</f>
        <v>Hiring and Org Design</v>
      </c>
      <c r="F312" s="94" t="str">
        <f>weights_editor!C66</f>
        <v>Deploying Teams</v>
      </c>
      <c r="G312" s="88">
        <f>weights_editor!M66</f>
        <v>0.8</v>
      </c>
      <c r="H312" s="89">
        <f>weights_editor!N66</f>
        <v>0.5</v>
      </c>
      <c r="I312" s="91" t="s">
        <v>380</v>
      </c>
    </row>
    <row r="313" ht="22.5" customHeight="1">
      <c r="A313" s="80" t="str">
        <f t="shared" si="4"/>
        <v>Staff DeveloperLEADERSHIPHiring and Org DesignEmployer Brand</v>
      </c>
      <c r="B313" s="81">
        <v>62.0</v>
      </c>
      <c r="C313" s="82" t="s">
        <v>75</v>
      </c>
      <c r="D313" s="87" t="str">
        <f>weights_editor!A67</f>
        <v>LEADERSHIP</v>
      </c>
      <c r="E313" s="94" t="str">
        <f>weights_editor!B67</f>
        <v>Hiring and Org Design</v>
      </c>
      <c r="F313" s="94" t="str">
        <f>weights_editor!C67</f>
        <v>Employer Brand</v>
      </c>
      <c r="G313" s="88">
        <f>weights_editor!M67</f>
        <v>1.5</v>
      </c>
      <c r="H313" s="89">
        <f>weights_editor!N67</f>
        <v>0.3</v>
      </c>
      <c r="I313" s="91" t="s">
        <v>381</v>
      </c>
    </row>
    <row r="314" ht="22.5" customHeight="1">
      <c r="A314" s="80" t="str">
        <f t="shared" si="4"/>
        <v>Staff DeveloperLEADERSHIPHiring and Org DesignHiring</v>
      </c>
      <c r="B314" s="81">
        <v>63.0</v>
      </c>
      <c r="C314" s="82" t="s">
        <v>75</v>
      </c>
      <c r="D314" s="87" t="str">
        <f>weights_editor!A68</f>
        <v>LEADERSHIP</v>
      </c>
      <c r="E314" s="94" t="str">
        <f>weights_editor!B68</f>
        <v>Hiring and Org Design</v>
      </c>
      <c r="F314" s="94" t="str">
        <f>weights_editor!C68</f>
        <v>Hiring</v>
      </c>
      <c r="G314" s="88">
        <f>weights_editor!M68</f>
        <v>0.5</v>
      </c>
      <c r="H314" s="89">
        <f>weights_editor!N68</f>
        <v>0.2</v>
      </c>
      <c r="I314" s="91" t="s">
        <v>382</v>
      </c>
    </row>
    <row r="315" ht="22.5" customHeight="1">
      <c r="A315" s="80" t="str">
        <f t="shared" si="4"/>
        <v>Staff DeveloperLEADERSHIPStakeholder Management</v>
      </c>
      <c r="B315" s="81">
        <v>64.0</v>
      </c>
      <c r="C315" s="82" t="s">
        <v>75</v>
      </c>
      <c r="D315" s="87" t="str">
        <f>weights_editor!A69</f>
        <v>LEADERSHIP</v>
      </c>
      <c r="E315" s="94" t="str">
        <f>weights_editor!B69</f>
        <v>Stakeholder Management</v>
      </c>
      <c r="F315" s="94" t="str">
        <f>weights_editor!C69</f>
        <v/>
      </c>
      <c r="G315" s="88">
        <f>weights_editor!M69</f>
        <v>2.74</v>
      </c>
      <c r="H315" s="89">
        <f>weights_editor!N69</f>
        <v>0.2</v>
      </c>
      <c r="I315" s="90" t="s">
        <v>383</v>
      </c>
    </row>
    <row r="316" ht="22.5" customHeight="1">
      <c r="A316" s="80" t="str">
        <f t="shared" si="4"/>
        <v>Staff DeveloperLEADERSHIPStakeholder ManagementManaging Goals and Expectations</v>
      </c>
      <c r="B316" s="81">
        <v>65.0</v>
      </c>
      <c r="C316" s="82" t="s">
        <v>75</v>
      </c>
      <c r="D316" s="87" t="str">
        <f>weights_editor!A70</f>
        <v>LEADERSHIP</v>
      </c>
      <c r="E316" s="94" t="str">
        <f>weights_editor!B70</f>
        <v>Stakeholder Management</v>
      </c>
      <c r="F316" s="94" t="str">
        <f>weights_editor!C70</f>
        <v>Managing Goals and Expectations</v>
      </c>
      <c r="G316" s="88">
        <f>weights_editor!M70</f>
        <v>2.5</v>
      </c>
      <c r="H316" s="89">
        <f>weights_editor!N70</f>
        <v>0.5</v>
      </c>
      <c r="I316" s="91" t="s">
        <v>384</v>
      </c>
    </row>
    <row r="317" ht="22.5" customHeight="1">
      <c r="A317" s="80" t="str">
        <f t="shared" si="4"/>
        <v>Staff DeveloperLEADERSHIPStakeholder ManagementForesight</v>
      </c>
      <c r="B317" s="81">
        <v>66.0</v>
      </c>
      <c r="C317" s="82" t="s">
        <v>75</v>
      </c>
      <c r="D317" s="87" t="str">
        <f>weights_editor!A71</f>
        <v>LEADERSHIP</v>
      </c>
      <c r="E317" s="94" t="str">
        <f>weights_editor!B71</f>
        <v>Stakeholder Management</v>
      </c>
      <c r="F317" s="94" t="str">
        <f>weights_editor!C71</f>
        <v>Foresight</v>
      </c>
      <c r="G317" s="88">
        <f>weights_editor!M71</f>
        <v>2.8</v>
      </c>
      <c r="H317" s="89">
        <f>weights_editor!N71</f>
        <v>0.2</v>
      </c>
      <c r="I317" s="91" t="s">
        <v>385</v>
      </c>
    </row>
    <row r="318" ht="22.5" customHeight="1">
      <c r="A318" s="80" t="str">
        <f t="shared" si="4"/>
        <v>Staff DeveloperLEADERSHIPStakeholder ManagementEngendering Trust</v>
      </c>
      <c r="B318" s="81">
        <v>67.0</v>
      </c>
      <c r="C318" s="82" t="s">
        <v>75</v>
      </c>
      <c r="D318" s="87" t="str">
        <f>weights_editor!A72</f>
        <v>LEADERSHIP</v>
      </c>
      <c r="E318" s="94" t="str">
        <f>weights_editor!B72</f>
        <v>Stakeholder Management</v>
      </c>
      <c r="F318" s="94" t="str">
        <f>weights_editor!C72</f>
        <v>Engendering Trust</v>
      </c>
      <c r="G318" s="88">
        <f>weights_editor!M72</f>
        <v>3.2</v>
      </c>
      <c r="H318" s="89">
        <f>weights_editor!N72</f>
        <v>0.2</v>
      </c>
      <c r="I318" s="91" t="s">
        <v>386</v>
      </c>
    </row>
    <row r="319" ht="22.5" customHeight="1">
      <c r="A319" s="80" t="str">
        <f t="shared" si="4"/>
        <v>Staff DeveloperLEADERSHIPStakeholder ManagementProtecting the Team</v>
      </c>
      <c r="B319" s="81">
        <v>68.0</v>
      </c>
      <c r="C319" s="82" t="s">
        <v>75</v>
      </c>
      <c r="D319" s="87" t="str">
        <f>weights_editor!A73</f>
        <v>LEADERSHIP</v>
      </c>
      <c r="E319" s="94" t="str">
        <f>weights_editor!B73</f>
        <v>Stakeholder Management</v>
      </c>
      <c r="F319" s="94" t="str">
        <f>weights_editor!C73</f>
        <v>Protecting the Team</v>
      </c>
      <c r="G319" s="88">
        <f>weights_editor!M73</f>
        <v>2.9</v>
      </c>
      <c r="H319" s="89">
        <f>weights_editor!N73</f>
        <v>0.1</v>
      </c>
      <c r="I319" s="91" t="s">
        <v>387</v>
      </c>
    </row>
    <row r="320" ht="22.5" customHeight="1">
      <c r="A320" s="80" t="str">
        <f t="shared" si="4"/>
        <v>Staff DeveloperLEADERSHIPTeam Leadership</v>
      </c>
      <c r="B320" s="81">
        <v>69.0</v>
      </c>
      <c r="C320" s="82" t="s">
        <v>75</v>
      </c>
      <c r="D320" s="87" t="str">
        <f>weights_editor!A74</f>
        <v>LEADERSHIP</v>
      </c>
      <c r="E320" s="94" t="str">
        <f>weights_editor!B74</f>
        <v>Team Leadership</v>
      </c>
      <c r="F320" s="94" t="str">
        <f>weights_editor!C74</f>
        <v/>
      </c>
      <c r="G320" s="88">
        <f>weights_editor!M74</f>
        <v>2</v>
      </c>
      <c r="H320" s="89">
        <f>weights_editor!N74</f>
        <v>0.1</v>
      </c>
      <c r="I320" s="90" t="s">
        <v>388</v>
      </c>
    </row>
    <row r="321" ht="22.5" customHeight="1">
      <c r="A321" s="80" t="str">
        <f t="shared" si="4"/>
        <v>Staff DeveloperLEADERSHIPTeam LeadershipPutting the Team first</v>
      </c>
      <c r="B321" s="81">
        <v>70.0</v>
      </c>
      <c r="C321" s="82" t="s">
        <v>75</v>
      </c>
      <c r="D321" s="87" t="str">
        <f>weights_editor!A75</f>
        <v>LEADERSHIP</v>
      </c>
      <c r="E321" s="94" t="str">
        <f>weights_editor!B75</f>
        <v>Team Leadership</v>
      </c>
      <c r="F321" s="94" t="str">
        <f>weights_editor!C75</f>
        <v>Putting the Team first</v>
      </c>
      <c r="G321" s="88">
        <f>weights_editor!M75</f>
        <v>2.5</v>
      </c>
      <c r="H321" s="89">
        <f>weights_editor!N75</f>
        <v>0.5</v>
      </c>
      <c r="I321" s="91" t="s">
        <v>389</v>
      </c>
    </row>
    <row r="322" ht="22.5" customHeight="1">
      <c r="A322" s="80" t="str">
        <f t="shared" si="4"/>
        <v>Staff DeveloperLEADERSHIPTeam LeadershipDifficult Conversations</v>
      </c>
      <c r="B322" s="81">
        <v>71.0</v>
      </c>
      <c r="C322" s="82" t="s">
        <v>75</v>
      </c>
      <c r="D322" s="87" t="str">
        <f>weights_editor!A76</f>
        <v>LEADERSHIP</v>
      </c>
      <c r="E322" s="94" t="str">
        <f>weights_editor!B76</f>
        <v>Team Leadership</v>
      </c>
      <c r="F322" s="94" t="str">
        <f>weights_editor!C76</f>
        <v>Difficult Conversations</v>
      </c>
      <c r="G322" s="88">
        <f>weights_editor!M76</f>
        <v>0.8</v>
      </c>
      <c r="H322" s="89">
        <f>weights_editor!N76</f>
        <v>0.2</v>
      </c>
      <c r="I322" s="91" t="s">
        <v>390</v>
      </c>
    </row>
    <row r="323" ht="22.5" customHeight="1">
      <c r="A323" s="80" t="str">
        <f t="shared" si="4"/>
        <v>Staff DeveloperLEADERSHIPTeam LeadershipReliability</v>
      </c>
      <c r="B323" s="81">
        <v>72.0</v>
      </c>
      <c r="C323" s="82" t="s">
        <v>75</v>
      </c>
      <c r="D323" s="87" t="str">
        <f>weights_editor!A77</f>
        <v>LEADERSHIP</v>
      </c>
      <c r="E323" s="94" t="str">
        <f>weights_editor!B77</f>
        <v>Team Leadership</v>
      </c>
      <c r="F323" s="94" t="str">
        <f>weights_editor!C77</f>
        <v>Reliability</v>
      </c>
      <c r="G323" s="88">
        <f>weights_editor!M77</f>
        <v>1.9</v>
      </c>
      <c r="H323" s="89">
        <f>weights_editor!N77</f>
        <v>0.2</v>
      </c>
      <c r="I323" s="91" t="s">
        <v>391</v>
      </c>
    </row>
    <row r="324" ht="22.5" customHeight="1">
      <c r="A324" s="80" t="str">
        <f t="shared" si="4"/>
        <v>Staff DeveloperLEADERSHIPTeam LeadershipVulnerability</v>
      </c>
      <c r="B324" s="81">
        <v>73.0</v>
      </c>
      <c r="C324" s="82" t="s">
        <v>75</v>
      </c>
      <c r="D324" s="87" t="str">
        <f>weights_editor!A78</f>
        <v>LEADERSHIP</v>
      </c>
      <c r="E324" s="94" t="str">
        <f>weights_editor!B78</f>
        <v>Team Leadership</v>
      </c>
      <c r="F324" s="94" t="str">
        <f>weights_editor!C78</f>
        <v>Vulnerability</v>
      </c>
      <c r="G324" s="88">
        <f>weights_editor!M78</f>
        <v>2.1</v>
      </c>
      <c r="H324" s="89">
        <f>weights_editor!N78</f>
        <v>0.1</v>
      </c>
      <c r="I324" s="91" t="s">
        <v>392</v>
      </c>
    </row>
    <row r="325" ht="22.5" customHeight="1">
      <c r="A325" s="80" t="str">
        <f t="shared" si="4"/>
        <v>Staff DeveloperLEADERSHIPDeveloping Others</v>
      </c>
      <c r="B325" s="81">
        <v>74.0</v>
      </c>
      <c r="C325" s="82" t="s">
        <v>75</v>
      </c>
      <c r="D325" s="87" t="str">
        <f>weights_editor!A79</f>
        <v>LEADERSHIP</v>
      </c>
      <c r="E325" s="94" t="str">
        <f>weights_editor!B79</f>
        <v>Developing Others</v>
      </c>
      <c r="F325" s="94" t="str">
        <f>weights_editor!C79</f>
        <v/>
      </c>
      <c r="G325" s="88">
        <f>weights_editor!M79</f>
        <v>1.47</v>
      </c>
      <c r="H325" s="89">
        <f>weights_editor!N79</f>
        <v>0.2</v>
      </c>
      <c r="I325" s="90" t="s">
        <v>393</v>
      </c>
    </row>
    <row r="326" ht="22.5" customHeight="1">
      <c r="A326" s="80" t="str">
        <f t="shared" si="4"/>
        <v>Staff DeveloperLEADERSHIPDeveloping OthersIdentifying strengths</v>
      </c>
      <c r="B326" s="81">
        <v>75.0</v>
      </c>
      <c r="C326" s="82" t="s">
        <v>75</v>
      </c>
      <c r="D326" s="87" t="str">
        <f>weights_editor!A80</f>
        <v>LEADERSHIP</v>
      </c>
      <c r="E326" s="94" t="str">
        <f>weights_editor!B80</f>
        <v>Developing Others</v>
      </c>
      <c r="F326" s="94" t="str">
        <f>weights_editor!C80</f>
        <v>Identifying strengths</v>
      </c>
      <c r="G326" s="88">
        <f>weights_editor!M80</f>
        <v>1.2</v>
      </c>
      <c r="H326" s="89">
        <f>weights_editor!N80</f>
        <v>0.3</v>
      </c>
      <c r="I326" s="91" t="s">
        <v>394</v>
      </c>
    </row>
    <row r="327" ht="22.5" customHeight="1">
      <c r="A327" s="80" t="str">
        <f t="shared" si="4"/>
        <v>Staff DeveloperLEADERSHIPDeveloping OthersSupporting team growth</v>
      </c>
      <c r="B327" s="81">
        <v>76.0</v>
      </c>
      <c r="C327" s="82" t="s">
        <v>75</v>
      </c>
      <c r="D327" s="87" t="str">
        <f>weights_editor!A81</f>
        <v>LEADERSHIP</v>
      </c>
      <c r="E327" s="94" t="str">
        <f>weights_editor!B81</f>
        <v>Developing Others</v>
      </c>
      <c r="F327" s="94" t="str">
        <f>weights_editor!C81</f>
        <v>Supporting team growth</v>
      </c>
      <c r="G327" s="88">
        <f>weights_editor!M81</f>
        <v>1.6</v>
      </c>
      <c r="H327" s="89">
        <f>weights_editor!N81</f>
        <v>0.4</v>
      </c>
      <c r="I327" s="91" t="s">
        <v>395</v>
      </c>
    </row>
    <row r="328" ht="22.5" customHeight="1">
      <c r="A328" s="80" t="str">
        <f t="shared" si="4"/>
        <v>Staff DeveloperLEADERSHIPDeveloping OthersInvesting in process</v>
      </c>
      <c r="B328" s="81">
        <v>77.0</v>
      </c>
      <c r="C328" s="82" t="s">
        <v>75</v>
      </c>
      <c r="D328" s="87" t="str">
        <f>weights_editor!A82</f>
        <v>LEADERSHIP</v>
      </c>
      <c r="E328" s="94" t="str">
        <f>weights_editor!B82</f>
        <v>Developing Others</v>
      </c>
      <c r="F328" s="94" t="str">
        <f>weights_editor!C82</f>
        <v>Investing in process</v>
      </c>
      <c r="G328" s="88">
        <f>weights_editor!M82</f>
        <v>1.7</v>
      </c>
      <c r="H328" s="89">
        <f>weights_editor!N82</f>
        <v>0.1</v>
      </c>
      <c r="I328" s="91" t="s">
        <v>396</v>
      </c>
    </row>
    <row r="329" ht="22.5" customHeight="1">
      <c r="A329" s="80" t="str">
        <f t="shared" si="4"/>
        <v>Staff DeveloperLEADERSHIPDeveloping OthersFeedback on work</v>
      </c>
      <c r="B329" s="81">
        <v>78.0</v>
      </c>
      <c r="C329" s="82" t="s">
        <v>75</v>
      </c>
      <c r="D329" s="87" t="str">
        <f>weights_editor!A83</f>
        <v>LEADERSHIP</v>
      </c>
      <c r="E329" s="94" t="str">
        <f>weights_editor!B83</f>
        <v>Developing Others</v>
      </c>
      <c r="F329" s="94" t="str">
        <f>weights_editor!C83</f>
        <v>Feedback on work</v>
      </c>
      <c r="G329" s="88">
        <f>weights_editor!M83</f>
        <v>1.5</v>
      </c>
      <c r="H329" s="89">
        <f>weights_editor!N83</f>
        <v>0.2</v>
      </c>
      <c r="I329" s="91" t="s">
        <v>397</v>
      </c>
    </row>
    <row r="330" ht="22.5" customHeight="1">
      <c r="A330" s="80" t="str">
        <f t="shared" si="4"/>
        <v>Staff DeveloperLEADERSHIPCulture &amp; Togetherness</v>
      </c>
      <c r="B330" s="81">
        <v>79.0</v>
      </c>
      <c r="C330" s="82" t="s">
        <v>75</v>
      </c>
      <c r="D330" s="87" t="str">
        <f>weights_editor!A84</f>
        <v>LEADERSHIP</v>
      </c>
      <c r="E330" s="94" t="str">
        <f>weights_editor!B84</f>
        <v>Culture &amp; Togetherness</v>
      </c>
      <c r="F330" s="94" t="str">
        <f>weights_editor!C84</f>
        <v/>
      </c>
      <c r="G330" s="88">
        <f>weights_editor!M84</f>
        <v>1.76</v>
      </c>
      <c r="H330" s="89">
        <f>weights_editor!N84</f>
        <v>0.1</v>
      </c>
      <c r="I330" s="90" t="s">
        <v>398</v>
      </c>
    </row>
    <row r="331" ht="22.5" customHeight="1">
      <c r="A331" s="80" t="str">
        <f t="shared" si="4"/>
        <v>Staff DeveloperLEADERSHIPCulture &amp; TogethernessSetting an Example</v>
      </c>
      <c r="B331" s="81">
        <v>80.0</v>
      </c>
      <c r="C331" s="82" t="s">
        <v>75</v>
      </c>
      <c r="D331" s="87" t="str">
        <f>weights_editor!A85</f>
        <v>LEADERSHIP</v>
      </c>
      <c r="E331" s="94" t="str">
        <f>weights_editor!B85</f>
        <v>Culture &amp; Togetherness</v>
      </c>
      <c r="F331" s="94" t="str">
        <f>weights_editor!C85</f>
        <v>Setting an Example</v>
      </c>
      <c r="G331" s="88">
        <f>weights_editor!M85</f>
        <v>2.4</v>
      </c>
      <c r="H331" s="89">
        <f>weights_editor!N85</f>
        <v>0.3</v>
      </c>
      <c r="I331" s="91" t="s">
        <v>399</v>
      </c>
    </row>
    <row r="332" ht="22.5" customHeight="1">
      <c r="A332" s="80" t="str">
        <f t="shared" si="4"/>
        <v>Staff DeveloperLEADERSHIPCulture &amp; TogethernessEncouraging diverse opinions</v>
      </c>
      <c r="B332" s="81">
        <v>81.0</v>
      </c>
      <c r="C332" s="82" t="s">
        <v>75</v>
      </c>
      <c r="D332" s="87" t="str">
        <f>weights_editor!A86</f>
        <v>LEADERSHIP</v>
      </c>
      <c r="E332" s="94" t="str">
        <f>weights_editor!B86</f>
        <v>Culture &amp; Togetherness</v>
      </c>
      <c r="F332" s="94" t="str">
        <f>weights_editor!C86</f>
        <v>Encouraging diverse opinions</v>
      </c>
      <c r="G332" s="88">
        <f>weights_editor!M86</f>
        <v>1.4</v>
      </c>
      <c r="H332" s="89">
        <f>weights_editor!N86</f>
        <v>0.4</v>
      </c>
      <c r="I332" s="91" t="s">
        <v>400</v>
      </c>
    </row>
    <row r="333" ht="22.5" customHeight="1">
      <c r="A333" s="80" t="str">
        <f t="shared" si="4"/>
        <v>Staff DeveloperLEADERSHIPCulture &amp; TogethernessDeveloping personal relationships</v>
      </c>
      <c r="B333" s="81">
        <v>82.0</v>
      </c>
      <c r="C333" s="82" t="s">
        <v>75</v>
      </c>
      <c r="D333" s="87" t="str">
        <f>weights_editor!A87</f>
        <v>LEADERSHIP</v>
      </c>
      <c r="E333" s="94" t="str">
        <f>weights_editor!B87</f>
        <v>Culture &amp; Togetherness</v>
      </c>
      <c r="F333" s="94" t="str">
        <f>weights_editor!C87</f>
        <v>Developing personal relationships</v>
      </c>
      <c r="G333" s="88">
        <f>weights_editor!M87</f>
        <v>1.6</v>
      </c>
      <c r="H333" s="89">
        <f>weights_editor!N87</f>
        <v>0.3</v>
      </c>
      <c r="I333" s="91" t="s">
        <v>401</v>
      </c>
    </row>
    <row r="334" ht="22.5" customHeight="1">
      <c r="A334" s="80" t="str">
        <f>TRIM(C334&amp;D334&amp;E334&amp;F334)</f>
        <v>Senior Staff DeveloperENGINEERING CRAFT</v>
      </c>
      <c r="B334" s="81">
        <v>0.0</v>
      </c>
      <c r="C334" s="82" t="s">
        <v>76</v>
      </c>
      <c r="D334" s="93" t="str">
        <f>weights_editor!A3</f>
        <v>ENGINEERING CRAFT</v>
      </c>
      <c r="E334" s="94" t="str">
        <f>weights_editor!B3</f>
        <v/>
      </c>
      <c r="F334" s="94" t="str">
        <f>weights_editor!C3</f>
        <v/>
      </c>
      <c r="G334" s="84">
        <f>weights_editor!P3</f>
        <v>3.64475</v>
      </c>
      <c r="H334" s="85">
        <f>weights_editor!Q3</f>
        <v>0.4</v>
      </c>
      <c r="I334" s="92"/>
    </row>
    <row r="335" ht="22.5" customHeight="1">
      <c r="A335" s="80" t="str">
        <f t="shared" ref="A335:A416" si="5">C335&amp;D335&amp;E335&amp;F335</f>
        <v>Senior Staff DeveloperENGINEERING CRAFTWriting Code</v>
      </c>
      <c r="B335" s="81">
        <v>1.0</v>
      </c>
      <c r="C335" s="82" t="s">
        <v>76</v>
      </c>
      <c r="D335" s="87" t="str">
        <f>weights_editor!A4</f>
        <v>ENGINEERING CRAFT</v>
      </c>
      <c r="E335" s="94" t="str">
        <f>weights_editor!B4</f>
        <v>Writing Code</v>
      </c>
      <c r="F335" s="94" t="str">
        <f>weights_editor!C4</f>
        <v/>
      </c>
      <c r="G335" s="88">
        <f>weights_editor!P4</f>
        <v>3.61</v>
      </c>
      <c r="H335" s="89">
        <f>weights_editor!Q4</f>
        <v>0.3</v>
      </c>
      <c r="I335" s="90" t="s">
        <v>402</v>
      </c>
    </row>
    <row r="336" ht="22.5" customHeight="1">
      <c r="A336" s="80" t="str">
        <f t="shared" si="5"/>
        <v>Senior Staff DeveloperENGINEERING CRAFTWriting CodeQuality</v>
      </c>
      <c r="B336" s="81">
        <v>2.0</v>
      </c>
      <c r="C336" s="82" t="s">
        <v>76</v>
      </c>
      <c r="D336" s="87" t="str">
        <f>weights_editor!A5</f>
        <v>ENGINEERING CRAFT</v>
      </c>
      <c r="E336" s="94" t="str">
        <f>weights_editor!B5</f>
        <v>Writing Code</v>
      </c>
      <c r="F336" s="94" t="str">
        <f>weights_editor!C5</f>
        <v>Quality</v>
      </c>
      <c r="G336" s="88">
        <f>weights_editor!P5</f>
        <v>3.6</v>
      </c>
      <c r="H336" s="89">
        <f>weights_editor!Q5</f>
        <v>0.4</v>
      </c>
      <c r="I336" s="91" t="s">
        <v>403</v>
      </c>
    </row>
    <row r="337" ht="22.5" customHeight="1">
      <c r="A337" s="80" t="str">
        <f t="shared" si="5"/>
        <v>Senior Staff DeveloperENGINEERING CRAFTWriting CodeDocumentation</v>
      </c>
      <c r="B337" s="81">
        <v>3.0</v>
      </c>
      <c r="C337" s="82" t="s">
        <v>76</v>
      </c>
      <c r="D337" s="87" t="str">
        <f>weights_editor!A6</f>
        <v>ENGINEERING CRAFT</v>
      </c>
      <c r="E337" s="94" t="str">
        <f>weights_editor!B6</f>
        <v>Writing Code</v>
      </c>
      <c r="F337" s="94" t="str">
        <f>weights_editor!C6</f>
        <v>Documentation</v>
      </c>
      <c r="G337" s="88">
        <f>weights_editor!P6</f>
        <v>3.4</v>
      </c>
      <c r="H337" s="89">
        <f>weights_editor!Q6</f>
        <v>0.2</v>
      </c>
      <c r="I337" s="91" t="s">
        <v>404</v>
      </c>
    </row>
    <row r="338" ht="22.5" customHeight="1">
      <c r="A338" s="80" t="str">
        <f t="shared" si="5"/>
        <v>Senior Staff DeveloperENGINEERING CRAFTWriting CodeLanguage</v>
      </c>
      <c r="B338" s="81">
        <v>4.0</v>
      </c>
      <c r="C338" s="82" t="s">
        <v>76</v>
      </c>
      <c r="D338" s="87" t="str">
        <f>weights_editor!A7</f>
        <v>ENGINEERING CRAFT</v>
      </c>
      <c r="E338" s="94" t="str">
        <f>weights_editor!B7</f>
        <v>Writing Code</v>
      </c>
      <c r="F338" s="94" t="str">
        <f>weights_editor!C7</f>
        <v>Language</v>
      </c>
      <c r="G338" s="88">
        <f>weights_editor!P7</f>
        <v>3.8</v>
      </c>
      <c r="H338" s="89">
        <f>weights_editor!Q7</f>
        <v>0.3</v>
      </c>
      <c r="I338" s="91" t="s">
        <v>405</v>
      </c>
    </row>
    <row r="339" ht="22.5" customHeight="1">
      <c r="A339" s="80" t="str">
        <f t="shared" si="5"/>
        <v>Senior Staff DeveloperENGINEERING CRAFTWriting CodeMentoring</v>
      </c>
      <c r="B339" s="81">
        <v>5.0</v>
      </c>
      <c r="C339" s="82" t="s">
        <v>76</v>
      </c>
      <c r="D339" s="87" t="str">
        <f>weights_editor!A8</f>
        <v>ENGINEERING CRAFT</v>
      </c>
      <c r="E339" s="94" t="str">
        <f>weights_editor!B8</f>
        <v>Writing Code</v>
      </c>
      <c r="F339" s="94" t="str">
        <f>weights_editor!C8</f>
        <v>Mentoring</v>
      </c>
      <c r="G339" s="88">
        <f>weights_editor!P8</f>
        <v>3.5</v>
      </c>
      <c r="H339" s="89">
        <f>weights_editor!Q8</f>
        <v>0.1</v>
      </c>
      <c r="I339" s="91" t="s">
        <v>406</v>
      </c>
    </row>
    <row r="340" ht="22.5" customHeight="1">
      <c r="A340" s="80" t="str">
        <f t="shared" si="5"/>
        <v>Senior Staff DeveloperENGINEERING CRAFTTesting</v>
      </c>
      <c r="B340" s="81">
        <v>6.0</v>
      </c>
      <c r="C340" s="82" t="s">
        <v>76</v>
      </c>
      <c r="D340" s="87" t="str">
        <f>weights_editor!A9</f>
        <v>ENGINEERING CRAFT</v>
      </c>
      <c r="E340" s="94" t="str">
        <f>weights_editor!B9</f>
        <v>Testing</v>
      </c>
      <c r="F340" s="94" t="str">
        <f>weights_editor!C9</f>
        <v/>
      </c>
      <c r="G340" s="88">
        <f>weights_editor!P9</f>
        <v>3.6</v>
      </c>
      <c r="H340" s="89">
        <f>weights_editor!Q9</f>
        <v>0.15</v>
      </c>
      <c r="I340" s="90" t="s">
        <v>407</v>
      </c>
    </row>
    <row r="341" ht="22.5" customHeight="1">
      <c r="A341" s="80" t="str">
        <f t="shared" si="5"/>
        <v>Senior Staff DeveloperENGINEERING CRAFTTestingTesting your code</v>
      </c>
      <c r="B341" s="81">
        <v>7.0</v>
      </c>
      <c r="C341" s="82" t="s">
        <v>76</v>
      </c>
      <c r="D341" s="87" t="str">
        <f>weights_editor!A10</f>
        <v>ENGINEERING CRAFT</v>
      </c>
      <c r="E341" s="94" t="str">
        <f>weights_editor!B10</f>
        <v>Testing</v>
      </c>
      <c r="F341" s="94" t="str">
        <f>weights_editor!C10</f>
        <v>Testing your code</v>
      </c>
      <c r="G341" s="88" t="str">
        <f>weights_editor!P10</f>
        <v/>
      </c>
      <c r="H341" s="89">
        <f>weights_editor!Q10</f>
        <v>0</v>
      </c>
      <c r="I341" s="91" t="s">
        <v>167</v>
      </c>
    </row>
    <row r="342" ht="22.5" customHeight="1">
      <c r="A342" s="80" t="str">
        <f t="shared" si="5"/>
        <v>Senior Staff DeveloperENGINEERING CRAFTTestingImproving coverage</v>
      </c>
      <c r="B342" s="81">
        <v>8.0</v>
      </c>
      <c r="C342" s="82" t="s">
        <v>76</v>
      </c>
      <c r="D342" s="87" t="str">
        <f>weights_editor!A11</f>
        <v>ENGINEERING CRAFT</v>
      </c>
      <c r="E342" s="94" t="str">
        <f>weights_editor!B11</f>
        <v>Testing</v>
      </c>
      <c r="F342" s="94" t="str">
        <f>weights_editor!C11</f>
        <v>Improving coverage</v>
      </c>
      <c r="G342" s="88" t="str">
        <f>weights_editor!P11</f>
        <v/>
      </c>
      <c r="H342" s="89">
        <f>weights_editor!Q11</f>
        <v>0</v>
      </c>
      <c r="I342" s="91" t="s">
        <v>167</v>
      </c>
    </row>
    <row r="343" ht="22.5" customHeight="1">
      <c r="A343" s="80" t="str">
        <f t="shared" si="5"/>
        <v>Senior Staff DeveloperENGINEERING CRAFTTestingTaking responsibility</v>
      </c>
      <c r="B343" s="81">
        <v>9.0</v>
      </c>
      <c r="C343" s="82" t="s">
        <v>76</v>
      </c>
      <c r="D343" s="87" t="str">
        <f>weights_editor!A12</f>
        <v>ENGINEERING CRAFT</v>
      </c>
      <c r="E343" s="94" t="str">
        <f>weights_editor!B12</f>
        <v>Testing</v>
      </c>
      <c r="F343" s="94" t="str">
        <f>weights_editor!C12</f>
        <v>Taking responsibility</v>
      </c>
      <c r="G343" s="88" t="str">
        <f>weights_editor!P12</f>
        <v/>
      </c>
      <c r="H343" s="89">
        <f>weights_editor!Q12</f>
        <v>0</v>
      </c>
      <c r="I343" s="91" t="s">
        <v>167</v>
      </c>
    </row>
    <row r="344" ht="22.5" customHeight="1">
      <c r="A344" s="80" t="str">
        <f t="shared" si="5"/>
        <v>Senior Staff DeveloperENGINEERING CRAFTTestingLeading testing strategy</v>
      </c>
      <c r="B344" s="81">
        <v>10.0</v>
      </c>
      <c r="C344" s="82" t="s">
        <v>76</v>
      </c>
      <c r="D344" s="87" t="str">
        <f>weights_editor!A13</f>
        <v>ENGINEERING CRAFT</v>
      </c>
      <c r="E344" s="94" t="str">
        <f>weights_editor!B13</f>
        <v>Testing</v>
      </c>
      <c r="F344" s="94" t="str">
        <f>weights_editor!C13</f>
        <v>Leading testing strategy</v>
      </c>
      <c r="G344" s="88">
        <f>weights_editor!P13</f>
        <v>3.6</v>
      </c>
      <c r="H344" s="89">
        <f>weights_editor!Q13</f>
        <v>0.5</v>
      </c>
      <c r="I344" s="91" t="s">
        <v>408</v>
      </c>
    </row>
    <row r="345" ht="22.5" customHeight="1">
      <c r="A345" s="80" t="str">
        <f t="shared" si="5"/>
        <v>Senior Staff DeveloperENGINEERING CRAFTTestingAdvocating for testing</v>
      </c>
      <c r="B345" s="81">
        <v>11.0</v>
      </c>
      <c r="C345" s="82" t="s">
        <v>76</v>
      </c>
      <c r="D345" s="87" t="str">
        <f>weights_editor!A14</f>
        <v>ENGINEERING CRAFT</v>
      </c>
      <c r="E345" s="94" t="str">
        <f>weights_editor!B14</f>
        <v>Testing</v>
      </c>
      <c r="F345" s="94" t="str">
        <f>weights_editor!C14</f>
        <v>Advocating for testing</v>
      </c>
      <c r="G345" s="88">
        <f>weights_editor!P14</f>
        <v>3.6</v>
      </c>
      <c r="H345" s="89">
        <f>weights_editor!Q14</f>
        <v>0.5</v>
      </c>
      <c r="I345" s="91" t="s">
        <v>409</v>
      </c>
    </row>
    <row r="346" ht="22.5" customHeight="1">
      <c r="A346" s="80" t="str">
        <f t="shared" si="5"/>
        <v>Senior Staff DeveloperENGINEERING CRAFTTechnical Understanding &amp; Prioritisation</v>
      </c>
      <c r="B346" s="81">
        <v>12.0</v>
      </c>
      <c r="C346" s="82" t="s">
        <v>76</v>
      </c>
      <c r="D346" s="87" t="str">
        <f>weights_editor!A15</f>
        <v>ENGINEERING CRAFT</v>
      </c>
      <c r="E346" s="94" t="str">
        <f>weights_editor!B15</f>
        <v>Technical Understanding &amp; Prioritisation</v>
      </c>
      <c r="F346" s="94" t="str">
        <f>weights_editor!C15</f>
        <v/>
      </c>
      <c r="G346" s="88">
        <f>weights_editor!P15</f>
        <v>3.705</v>
      </c>
      <c r="H346" s="89">
        <f>weights_editor!Q15</f>
        <v>0.15</v>
      </c>
      <c r="I346" s="90" t="s">
        <v>410</v>
      </c>
    </row>
    <row r="347" ht="22.5" customHeight="1">
      <c r="A347" s="80" t="str">
        <f t="shared" si="5"/>
        <v>Senior Staff DeveloperENGINEERING CRAFTTechnical Understanding &amp; PrioritisationUnderstanding code</v>
      </c>
      <c r="B347" s="81">
        <v>13.0</v>
      </c>
      <c r="C347" s="82" t="s">
        <v>76</v>
      </c>
      <c r="D347" s="87" t="str">
        <f>weights_editor!A16</f>
        <v>ENGINEERING CRAFT</v>
      </c>
      <c r="E347" s="94" t="str">
        <f>weights_editor!B16</f>
        <v>Technical Understanding &amp; Prioritisation</v>
      </c>
      <c r="F347" s="94" t="str">
        <f>weights_editor!C16</f>
        <v>Understanding code</v>
      </c>
      <c r="G347" s="88">
        <f>weights_editor!P16</f>
        <v>3.8</v>
      </c>
      <c r="H347" s="89">
        <f>weights_editor!Q16</f>
        <v>0.5</v>
      </c>
      <c r="I347" s="91" t="s">
        <v>411</v>
      </c>
    </row>
    <row r="348" ht="22.5" customHeight="1">
      <c r="A348" s="80" t="str">
        <f t="shared" si="5"/>
        <v>Senior Staff DeveloperENGINEERING CRAFTTechnical Understanding &amp; PrioritisationTechnical collaboration</v>
      </c>
      <c r="B348" s="81">
        <v>14.0</v>
      </c>
      <c r="C348" s="82" t="s">
        <v>76</v>
      </c>
      <c r="D348" s="87" t="str">
        <f>weights_editor!A17</f>
        <v>ENGINEERING CRAFT</v>
      </c>
      <c r="E348" s="94" t="str">
        <f>weights_editor!B17</f>
        <v>Technical Understanding &amp; Prioritisation</v>
      </c>
      <c r="F348" s="94" t="str">
        <f>weights_editor!C17</f>
        <v>Technical collaboration</v>
      </c>
      <c r="G348" s="88">
        <f>weights_editor!P17</f>
        <v>3.6</v>
      </c>
      <c r="H348" s="89">
        <f>weights_editor!Q17</f>
        <v>0.25</v>
      </c>
      <c r="I348" s="91" t="s">
        <v>412</v>
      </c>
    </row>
    <row r="349" ht="22.5" customHeight="1">
      <c r="A349" s="80" t="str">
        <f t="shared" si="5"/>
        <v>Senior Staff DeveloperENGINEERING CRAFTTechnical Understanding &amp; PrioritisationWork breakdown</v>
      </c>
      <c r="B349" s="81">
        <v>15.0</v>
      </c>
      <c r="C349" s="82" t="s">
        <v>76</v>
      </c>
      <c r="D349" s="87" t="str">
        <f>weights_editor!A18</f>
        <v>ENGINEERING CRAFT</v>
      </c>
      <c r="E349" s="94" t="str">
        <f>weights_editor!B18</f>
        <v>Technical Understanding &amp; Prioritisation</v>
      </c>
      <c r="F349" s="94" t="str">
        <f>weights_editor!C18</f>
        <v>Work breakdown</v>
      </c>
      <c r="G349" s="88">
        <f>weights_editor!P18</f>
        <v>3.5</v>
      </c>
      <c r="H349" s="89">
        <f>weights_editor!Q18</f>
        <v>0.15</v>
      </c>
      <c r="I349" s="91" t="s">
        <v>413</v>
      </c>
    </row>
    <row r="350" ht="22.5" customHeight="1">
      <c r="A350" s="80" t="str">
        <f t="shared" si="5"/>
        <v>Senior Staff DeveloperENGINEERING CRAFTTechnical Understanding &amp; PrioritisationTask prioritisation</v>
      </c>
      <c r="B350" s="81">
        <v>16.0</v>
      </c>
      <c r="C350" s="82" t="s">
        <v>76</v>
      </c>
      <c r="D350" s="87" t="str">
        <f>weights_editor!A19</f>
        <v>ENGINEERING CRAFT</v>
      </c>
      <c r="E350" s="94" t="str">
        <f>weights_editor!B19</f>
        <v>Technical Understanding &amp; Prioritisation</v>
      </c>
      <c r="F350" s="94" t="str">
        <f>weights_editor!C19</f>
        <v>Task prioritisation</v>
      </c>
      <c r="G350" s="88">
        <f>weights_editor!P19</f>
        <v>3.8</v>
      </c>
      <c r="H350" s="89">
        <f>weights_editor!Q19</f>
        <v>0.1</v>
      </c>
      <c r="I350" s="91" t="s">
        <v>414</v>
      </c>
    </row>
    <row r="351" ht="22.5" customHeight="1">
      <c r="A351" s="80" t="str">
        <f t="shared" si="5"/>
        <v>Senior Staff DeveloperENGINEERING CRAFTSoftware Architecture</v>
      </c>
      <c r="B351" s="81">
        <v>17.0</v>
      </c>
      <c r="C351" s="82" t="s">
        <v>76</v>
      </c>
      <c r="D351" s="87" t="str">
        <f>weights_editor!A20</f>
        <v>ENGINEERING CRAFT</v>
      </c>
      <c r="E351" s="94" t="str">
        <f>weights_editor!B20</f>
        <v>Software Architecture</v>
      </c>
      <c r="F351" s="94" t="str">
        <f>weights_editor!C20</f>
        <v/>
      </c>
      <c r="G351" s="88">
        <f>weights_editor!P20</f>
        <v>3.72</v>
      </c>
      <c r="H351" s="89">
        <f>weights_editor!Q20</f>
        <v>0.15</v>
      </c>
      <c r="I351" s="90" t="s">
        <v>415</v>
      </c>
    </row>
    <row r="352" ht="22.5" customHeight="1">
      <c r="A352" s="80" t="str">
        <f t="shared" si="5"/>
        <v>Senior Staff DeveloperENGINEERING CRAFTSoftware ArchitectureReaction to feedback</v>
      </c>
      <c r="B352" s="81">
        <v>18.0</v>
      </c>
      <c r="C352" s="82" t="s">
        <v>76</v>
      </c>
      <c r="D352" s="87" t="str">
        <f>weights_editor!A21</f>
        <v>ENGINEERING CRAFT</v>
      </c>
      <c r="E352" s="94" t="str">
        <f>weights_editor!B21</f>
        <v>Software Architecture</v>
      </c>
      <c r="F352" s="94" t="str">
        <f>weights_editor!C21</f>
        <v>Reaction to feedback</v>
      </c>
      <c r="G352" s="88">
        <f>weights_editor!P21</f>
        <v>3.5</v>
      </c>
      <c r="H352" s="89">
        <f>weights_editor!Q21</f>
        <v>0</v>
      </c>
      <c r="I352" s="91" t="s">
        <v>167</v>
      </c>
    </row>
    <row r="353" ht="22.5" customHeight="1">
      <c r="A353" s="80" t="str">
        <f t="shared" si="5"/>
        <v>Senior Staff DeveloperENGINEERING CRAFTSoftware ArchitectureCode</v>
      </c>
      <c r="B353" s="81">
        <v>19.0</v>
      </c>
      <c r="C353" s="82" t="s">
        <v>76</v>
      </c>
      <c r="D353" s="87" t="str">
        <f>weights_editor!A22</f>
        <v>ENGINEERING CRAFT</v>
      </c>
      <c r="E353" s="94" t="str">
        <f>weights_editor!B22</f>
        <v>Software Architecture</v>
      </c>
      <c r="F353" s="94" t="str">
        <f>weights_editor!C22</f>
        <v>Code</v>
      </c>
      <c r="G353" s="88">
        <f>weights_editor!P22</f>
        <v>3.6</v>
      </c>
      <c r="H353" s="89">
        <f>weights_editor!Q22</f>
        <v>0</v>
      </c>
      <c r="I353" s="91" t="s">
        <v>167</v>
      </c>
    </row>
    <row r="354" ht="22.5" customHeight="1">
      <c r="A354" s="80" t="str">
        <f t="shared" si="5"/>
        <v>Senior Staff DeveloperENGINEERING CRAFTSoftware ArchitectureDesign</v>
      </c>
      <c r="B354" s="81">
        <v>20.0</v>
      </c>
      <c r="C354" s="82" t="s">
        <v>76</v>
      </c>
      <c r="D354" s="87" t="str">
        <f>weights_editor!A23</f>
        <v>ENGINEERING CRAFT</v>
      </c>
      <c r="E354" s="94" t="str">
        <f>weights_editor!B23</f>
        <v>Software Architecture</v>
      </c>
      <c r="F354" s="94" t="str">
        <f>weights_editor!C23</f>
        <v>Design</v>
      </c>
      <c r="G354" s="88">
        <f>weights_editor!P23</f>
        <v>3.8</v>
      </c>
      <c r="H354" s="89">
        <f>weights_editor!Q23</f>
        <v>0.4</v>
      </c>
      <c r="I354" s="91" t="s">
        <v>416</v>
      </c>
    </row>
    <row r="355" ht="22.5" customHeight="1">
      <c r="A355" s="80" t="str">
        <f t="shared" si="5"/>
        <v>Senior Staff DeveloperENGINEERING CRAFTSoftware ArchitectureDevelopment</v>
      </c>
      <c r="B355" s="81">
        <v>21.0</v>
      </c>
      <c r="C355" s="82" t="s">
        <v>76</v>
      </c>
      <c r="D355" s="87" t="str">
        <f>weights_editor!A24</f>
        <v>ENGINEERING CRAFT</v>
      </c>
      <c r="E355" s="94" t="str">
        <f>weights_editor!B24</f>
        <v>Software Architecture</v>
      </c>
      <c r="F355" s="94" t="str">
        <f>weights_editor!C24</f>
        <v>Development</v>
      </c>
      <c r="G355" s="88">
        <f>weights_editor!P24</f>
        <v>3.7</v>
      </c>
      <c r="H355" s="89">
        <f>weights_editor!Q24</f>
        <v>0.4</v>
      </c>
      <c r="I355" s="91" t="s">
        <v>417</v>
      </c>
    </row>
    <row r="356" ht="22.5" customHeight="1">
      <c r="A356" s="80" t="str">
        <f t="shared" si="5"/>
        <v>Senior Staff DeveloperENGINEERING CRAFTSoftware ArchitectureTechnical debt</v>
      </c>
      <c r="B356" s="81">
        <v>22.0</v>
      </c>
      <c r="C356" s="82" t="s">
        <v>76</v>
      </c>
      <c r="D356" s="87" t="str">
        <f>weights_editor!A25</f>
        <v>ENGINEERING CRAFT</v>
      </c>
      <c r="E356" s="94" t="str">
        <f>weights_editor!B25</f>
        <v>Software Architecture</v>
      </c>
      <c r="F356" s="94" t="str">
        <f>weights_editor!C25</f>
        <v>Technical debt</v>
      </c>
      <c r="G356" s="88">
        <f>weights_editor!P25</f>
        <v>3.6</v>
      </c>
      <c r="H356" s="89">
        <f>weights_editor!Q25</f>
        <v>0.2</v>
      </c>
      <c r="I356" s="91" t="s">
        <v>418</v>
      </c>
    </row>
    <row r="357" ht="22.5" customHeight="1">
      <c r="A357" s="80" t="str">
        <f t="shared" si="5"/>
        <v>Senior Staff DeveloperENGINEERING CRAFTSecurity</v>
      </c>
      <c r="B357" s="81">
        <v>23.0</v>
      </c>
      <c r="C357" s="82" t="s">
        <v>76</v>
      </c>
      <c r="D357" s="87" t="str">
        <f>weights_editor!A26</f>
        <v>ENGINEERING CRAFT</v>
      </c>
      <c r="E357" s="94" t="str">
        <f>weights_editor!B26</f>
        <v>Security</v>
      </c>
      <c r="F357" s="94" t="str">
        <f>weights_editor!C26</f>
        <v/>
      </c>
      <c r="G357" s="88">
        <f>weights_editor!P26</f>
        <v>3.62</v>
      </c>
      <c r="H357" s="89">
        <f>weights_editor!Q26</f>
        <v>0.1</v>
      </c>
      <c r="I357" s="90" t="s">
        <v>419</v>
      </c>
    </row>
    <row r="358" ht="22.5" customHeight="1">
      <c r="A358" s="80" t="str">
        <f t="shared" si="5"/>
        <v>Senior Staff DeveloperENGINEERING CRAFTSecurityKnowledge</v>
      </c>
      <c r="B358" s="81">
        <v>24.0</v>
      </c>
      <c r="C358" s="82" t="s">
        <v>76</v>
      </c>
      <c r="D358" s="87" t="str">
        <f>weights_editor!A27</f>
        <v>ENGINEERING CRAFT</v>
      </c>
      <c r="E358" s="94" t="str">
        <f>weights_editor!B27</f>
        <v>Security</v>
      </c>
      <c r="F358" s="94" t="str">
        <f>weights_editor!C27</f>
        <v>Knowledge</v>
      </c>
      <c r="G358" s="88">
        <f>weights_editor!P27</f>
        <v>3.6</v>
      </c>
      <c r="H358" s="89">
        <f>weights_editor!Q27</f>
        <v>0.3</v>
      </c>
      <c r="I358" s="91" t="s">
        <v>420</v>
      </c>
    </row>
    <row r="359" ht="22.5" customHeight="1">
      <c r="A359" s="80" t="str">
        <f t="shared" si="5"/>
        <v>Senior Staff DeveloperENGINEERING CRAFTSecurityUser data</v>
      </c>
      <c r="B359" s="81">
        <v>25.0</v>
      </c>
      <c r="C359" s="82" t="s">
        <v>76</v>
      </c>
      <c r="D359" s="87" t="str">
        <f>weights_editor!A28</f>
        <v>ENGINEERING CRAFT</v>
      </c>
      <c r="E359" s="94" t="str">
        <f>weights_editor!B28</f>
        <v>Security</v>
      </c>
      <c r="F359" s="94" t="str">
        <f>weights_editor!C28</f>
        <v>User data</v>
      </c>
      <c r="G359" s="88">
        <f>weights_editor!P28</f>
        <v>3.7</v>
      </c>
      <c r="H359" s="89">
        <f>weights_editor!Q28</f>
        <v>0.3</v>
      </c>
      <c r="I359" s="91" t="s">
        <v>421</v>
      </c>
    </row>
    <row r="360" ht="22.5" customHeight="1">
      <c r="A360" s="80" t="str">
        <f t="shared" si="5"/>
        <v>Senior Staff DeveloperENGINEERING CRAFTSecurityReporting</v>
      </c>
      <c r="B360" s="81">
        <v>26.0</v>
      </c>
      <c r="C360" s="82" t="s">
        <v>76</v>
      </c>
      <c r="D360" s="87" t="str">
        <f>weights_editor!A29</f>
        <v>ENGINEERING CRAFT</v>
      </c>
      <c r="E360" s="94" t="str">
        <f>weights_editor!B29</f>
        <v>Security</v>
      </c>
      <c r="F360" s="94" t="str">
        <f>weights_editor!C29</f>
        <v>Reporting</v>
      </c>
      <c r="G360" s="88">
        <f>weights_editor!P29</f>
        <v>3.4</v>
      </c>
      <c r="H360" s="89">
        <f>weights_editor!Q29</f>
        <v>0</v>
      </c>
      <c r="I360" s="91" t="s">
        <v>167</v>
      </c>
    </row>
    <row r="361" ht="22.5" customHeight="1">
      <c r="A361" s="80" t="str">
        <f t="shared" si="5"/>
        <v>Senior Staff DeveloperENGINEERING CRAFTSecurityProactivity</v>
      </c>
      <c r="B361" s="81">
        <v>27.0</v>
      </c>
      <c r="C361" s="82" t="s">
        <v>76</v>
      </c>
      <c r="D361" s="87" t="str">
        <f>weights_editor!A30</f>
        <v>ENGINEERING CRAFT</v>
      </c>
      <c r="E361" s="94" t="str">
        <f>weights_editor!B30</f>
        <v>Security</v>
      </c>
      <c r="F361" s="94" t="str">
        <f>weights_editor!C30</f>
        <v>Proactivity</v>
      </c>
      <c r="G361" s="88">
        <f>weights_editor!P30</f>
        <v>3.5</v>
      </c>
      <c r="H361" s="89">
        <f>weights_editor!Q30</f>
        <v>0.1</v>
      </c>
      <c r="I361" s="91" t="s">
        <v>167</v>
      </c>
    </row>
    <row r="362" ht="22.5" customHeight="1">
      <c r="A362" s="80" t="str">
        <f t="shared" si="5"/>
        <v>Senior Staff DeveloperENGINEERING CRAFTSecurityCollaboration</v>
      </c>
      <c r="B362" s="81">
        <v>28.0</v>
      </c>
      <c r="C362" s="82" t="s">
        <v>76</v>
      </c>
      <c r="D362" s="87" t="str">
        <f>weights_editor!A31</f>
        <v>ENGINEERING CRAFT</v>
      </c>
      <c r="E362" s="94" t="str">
        <f>weights_editor!B31</f>
        <v>Security</v>
      </c>
      <c r="F362" s="94" t="str">
        <f>weights_editor!C31</f>
        <v>Collaboration</v>
      </c>
      <c r="G362" s="88">
        <f>weights_editor!P31</f>
        <v>3.4</v>
      </c>
      <c r="H362" s="89">
        <f>weights_editor!Q31</f>
        <v>0.1</v>
      </c>
      <c r="I362" s="91" t="s">
        <v>167</v>
      </c>
    </row>
    <row r="363" ht="22.5" customHeight="1">
      <c r="A363" s="80" t="str">
        <f t="shared" si="5"/>
        <v>Senior Staff DeveloperENGINEERING CRAFTSecurityStrategy</v>
      </c>
      <c r="B363" s="81">
        <v>29.0</v>
      </c>
      <c r="C363" s="82" t="s">
        <v>76</v>
      </c>
      <c r="D363" s="87" t="str">
        <f>weights_editor!A32</f>
        <v>ENGINEERING CRAFT</v>
      </c>
      <c r="E363" s="94" t="str">
        <f>weights_editor!B32</f>
        <v>Security</v>
      </c>
      <c r="F363" s="94" t="str">
        <f>weights_editor!C32</f>
        <v>Strategy</v>
      </c>
      <c r="G363" s="88">
        <f>weights_editor!P32</f>
        <v>3.7</v>
      </c>
      <c r="H363" s="89">
        <f>weights_editor!Q32</f>
        <v>0.2</v>
      </c>
      <c r="I363" s="91" t="s">
        <v>422</v>
      </c>
    </row>
    <row r="364" ht="22.5" customHeight="1">
      <c r="A364" s="80" t="str">
        <f t="shared" si="5"/>
        <v>Senior Staff DeveloperENGINEERING CRAFTDebugging &amp; Monitoring</v>
      </c>
      <c r="B364" s="81">
        <v>30.0</v>
      </c>
      <c r="C364" s="82" t="s">
        <v>76</v>
      </c>
      <c r="D364" s="87" t="str">
        <f>weights_editor!A33</f>
        <v>ENGINEERING CRAFT</v>
      </c>
      <c r="E364" s="94" t="str">
        <f>weights_editor!B33</f>
        <v>Debugging &amp; Monitoring</v>
      </c>
      <c r="F364" s="94" t="str">
        <f>weights_editor!C33</f>
        <v/>
      </c>
      <c r="G364" s="88">
        <f>weights_editor!P33</f>
        <v>3.64</v>
      </c>
      <c r="H364" s="89">
        <f>weights_editor!Q33</f>
        <v>0.15</v>
      </c>
      <c r="I364" s="90" t="s">
        <v>423</v>
      </c>
    </row>
    <row r="365" ht="22.5" customHeight="1">
      <c r="A365" s="80" t="str">
        <f t="shared" si="5"/>
        <v>Senior Staff DeveloperENGINEERING CRAFTDebugging &amp; MonitoringDebugging</v>
      </c>
      <c r="B365" s="81">
        <v>31.0</v>
      </c>
      <c r="C365" s="82" t="s">
        <v>76</v>
      </c>
      <c r="D365" s="87" t="str">
        <f>weights_editor!A34</f>
        <v>ENGINEERING CRAFT</v>
      </c>
      <c r="E365" s="94" t="str">
        <f>weights_editor!B34</f>
        <v>Debugging &amp; Monitoring</v>
      </c>
      <c r="F365" s="94" t="str">
        <f>weights_editor!C34</f>
        <v>Debugging</v>
      </c>
      <c r="G365" s="88">
        <f>weights_editor!P34</f>
        <v>3.8</v>
      </c>
      <c r="H365" s="89">
        <f>weights_editor!Q34</f>
        <v>0.3</v>
      </c>
      <c r="I365" s="91" t="s">
        <v>424</v>
      </c>
    </row>
    <row r="366" ht="22.5" customHeight="1">
      <c r="A366" s="80" t="str">
        <f t="shared" si="5"/>
        <v>Senior Staff DeveloperENGINEERING CRAFTDebugging &amp; MonitoringTools</v>
      </c>
      <c r="B366" s="81">
        <v>32.0</v>
      </c>
      <c r="C366" s="82" t="s">
        <v>76</v>
      </c>
      <c r="D366" s="87" t="str">
        <f>weights_editor!A35</f>
        <v>ENGINEERING CRAFT</v>
      </c>
      <c r="E366" s="94" t="str">
        <f>weights_editor!B35</f>
        <v>Debugging &amp; Monitoring</v>
      </c>
      <c r="F366" s="94" t="str">
        <f>weights_editor!C35</f>
        <v>Tools</v>
      </c>
      <c r="G366" s="88">
        <f>weights_editor!P35</f>
        <v>3.4</v>
      </c>
      <c r="H366" s="89">
        <f>weights_editor!Q35</f>
        <v>0</v>
      </c>
      <c r="I366" s="91" t="s">
        <v>167</v>
      </c>
    </row>
    <row r="367" ht="22.5" customHeight="1">
      <c r="A367" s="80" t="str">
        <f t="shared" si="5"/>
        <v>Senior Staff DeveloperENGINEERING CRAFTDebugging &amp; MonitoringPhilosophy</v>
      </c>
      <c r="B367" s="81">
        <v>33.0</v>
      </c>
      <c r="C367" s="82" t="s">
        <v>76</v>
      </c>
      <c r="D367" s="87" t="str">
        <f>weights_editor!A36</f>
        <v>ENGINEERING CRAFT</v>
      </c>
      <c r="E367" s="94" t="str">
        <f>weights_editor!B36</f>
        <v>Debugging &amp; Monitoring</v>
      </c>
      <c r="F367" s="94" t="str">
        <f>weights_editor!C36</f>
        <v>Philosophy</v>
      </c>
      <c r="G367" s="88">
        <f>weights_editor!P36</f>
        <v>3.6</v>
      </c>
      <c r="H367" s="89">
        <f>weights_editor!Q36</f>
        <v>0.2</v>
      </c>
      <c r="I367" s="91" t="s">
        <v>425</v>
      </c>
    </row>
    <row r="368" ht="22.5" customHeight="1">
      <c r="A368" s="80" t="str">
        <f t="shared" si="5"/>
        <v>Senior Staff DeveloperENGINEERING CRAFTDebugging &amp; MonitoringData</v>
      </c>
      <c r="B368" s="81">
        <v>34.0</v>
      </c>
      <c r="C368" s="82" t="s">
        <v>76</v>
      </c>
      <c r="D368" s="87" t="str">
        <f>weights_editor!A37</f>
        <v>ENGINEERING CRAFT</v>
      </c>
      <c r="E368" s="94" t="str">
        <f>weights_editor!B37</f>
        <v>Debugging &amp; Monitoring</v>
      </c>
      <c r="F368" s="94" t="str">
        <f>weights_editor!C37</f>
        <v>Data</v>
      </c>
      <c r="G368" s="88">
        <f>weights_editor!P37</f>
        <v>3.5</v>
      </c>
      <c r="H368" s="89">
        <f>weights_editor!Q37</f>
        <v>0.2</v>
      </c>
      <c r="I368" s="91" t="s">
        <v>426</v>
      </c>
    </row>
    <row r="369" ht="22.5" customHeight="1">
      <c r="A369" s="80" t="str">
        <f t="shared" si="5"/>
        <v>Senior Staff DeveloperENGINEERING CRAFTDebugging &amp; MonitoringProfiling</v>
      </c>
      <c r="B369" s="81">
        <v>35.0</v>
      </c>
      <c r="C369" s="82" t="s">
        <v>76</v>
      </c>
      <c r="D369" s="87" t="str">
        <f>weights_editor!A38</f>
        <v>ENGINEERING CRAFT</v>
      </c>
      <c r="E369" s="94" t="str">
        <f>weights_editor!B38</f>
        <v>Debugging &amp; Monitoring</v>
      </c>
      <c r="F369" s="94" t="str">
        <f>weights_editor!C38</f>
        <v>Profiling</v>
      </c>
      <c r="G369" s="88">
        <f>weights_editor!P38</f>
        <v>3.7</v>
      </c>
      <c r="H369" s="89">
        <f>weights_editor!Q38</f>
        <v>0.2</v>
      </c>
      <c r="I369" s="91" t="s">
        <v>427</v>
      </c>
    </row>
    <row r="370" ht="22.5" customHeight="1">
      <c r="A370" s="80" t="str">
        <f t="shared" si="5"/>
        <v>Senior Staff DeveloperENGINEERING CRAFTDebugging &amp; MonitoringMentoring</v>
      </c>
      <c r="B370" s="81">
        <v>36.0</v>
      </c>
      <c r="C370" s="82" t="s">
        <v>76</v>
      </c>
      <c r="D370" s="87" t="str">
        <f>weights_editor!A39</f>
        <v>ENGINEERING CRAFT</v>
      </c>
      <c r="E370" s="94" t="str">
        <f>weights_editor!B39</f>
        <v>Debugging &amp; Monitoring</v>
      </c>
      <c r="F370" s="94" t="str">
        <f>weights_editor!C39</f>
        <v>Mentoring</v>
      </c>
      <c r="G370" s="88">
        <f>weights_editor!P39</f>
        <v>3.4</v>
      </c>
      <c r="H370" s="89">
        <f>weights_editor!Q39</f>
        <v>0.1</v>
      </c>
      <c r="I370" s="91" t="s">
        <v>428</v>
      </c>
    </row>
    <row r="371" ht="22.5" customHeight="1">
      <c r="A371" s="80" t="str">
        <f t="shared" si="5"/>
        <v>Senior Staff DeveloperSOFT SKILLS</v>
      </c>
      <c r="B371" s="81">
        <v>37.0</v>
      </c>
      <c r="C371" s="82" t="s">
        <v>76</v>
      </c>
      <c r="D371" s="93" t="str">
        <f>weights_editor!A41</f>
        <v>SOFT SKILLS</v>
      </c>
      <c r="E371" s="94" t="str">
        <f>weights_editor!B41</f>
        <v/>
      </c>
      <c r="F371" s="94" t="str">
        <f>weights_editor!C41</f>
        <v/>
      </c>
      <c r="G371" s="84">
        <f>weights_editor!P41</f>
        <v>3.348</v>
      </c>
      <c r="H371" s="85">
        <f>weights_editor!Q41</f>
        <v>0.4</v>
      </c>
      <c r="I371" s="92"/>
    </row>
    <row r="372" ht="22.5" customHeight="1">
      <c r="A372" s="80" t="str">
        <f t="shared" si="5"/>
        <v>Senior Staff DeveloperSOFT SKILLSEmpathy &amp; Humility</v>
      </c>
      <c r="B372" s="81">
        <v>38.0</v>
      </c>
      <c r="C372" s="82" t="s">
        <v>76</v>
      </c>
      <c r="D372" s="87" t="str">
        <f>weights_editor!A42</f>
        <v>SOFT SKILLS</v>
      </c>
      <c r="E372" s="94" t="str">
        <f>weights_editor!B42</f>
        <v>Empathy &amp; Humility</v>
      </c>
      <c r="F372" s="94" t="str">
        <f>weights_editor!C42</f>
        <v/>
      </c>
      <c r="G372" s="88">
        <f>weights_editor!P42</f>
        <v>3.62</v>
      </c>
      <c r="H372" s="89">
        <f>weights_editor!Q42</f>
        <v>0.4</v>
      </c>
      <c r="I372" s="90" t="s">
        <v>429</v>
      </c>
    </row>
    <row r="373" ht="22.5" customHeight="1">
      <c r="A373" s="80" t="str">
        <f t="shared" si="5"/>
        <v>Senior Staff DeveloperSOFT SKILLSEmpathy &amp; HumilityCredit and blame</v>
      </c>
      <c r="B373" s="81">
        <v>39.0</v>
      </c>
      <c r="C373" s="82" t="s">
        <v>76</v>
      </c>
      <c r="D373" s="87" t="str">
        <f>weights_editor!A43</f>
        <v>SOFT SKILLS</v>
      </c>
      <c r="E373" s="94" t="str">
        <f>weights_editor!B43</f>
        <v>Empathy &amp; Humility</v>
      </c>
      <c r="F373" s="94" t="str">
        <f>weights_editor!C43</f>
        <v>Credit and blame</v>
      </c>
      <c r="G373" s="88">
        <f>weights_editor!P43</f>
        <v>3.8</v>
      </c>
      <c r="H373" s="89">
        <f>weights_editor!Q43</f>
        <v>0.3</v>
      </c>
      <c r="I373" s="91" t="s">
        <v>430</v>
      </c>
    </row>
    <row r="374" ht="22.5" customHeight="1">
      <c r="A374" s="80" t="str">
        <f t="shared" si="5"/>
        <v>Senior Staff DeveloperSOFT SKILLSEmpathy &amp; HumilityUnderstanding others</v>
      </c>
      <c r="B374" s="81">
        <v>40.0</v>
      </c>
      <c r="C374" s="82" t="s">
        <v>76</v>
      </c>
      <c r="D374" s="87" t="str">
        <f>weights_editor!A44</f>
        <v>SOFT SKILLS</v>
      </c>
      <c r="E374" s="94" t="str">
        <f>weights_editor!B44</f>
        <v>Empathy &amp; Humility</v>
      </c>
      <c r="F374" s="94" t="str">
        <f>weights_editor!C44</f>
        <v>Understanding others</v>
      </c>
      <c r="G374" s="88">
        <f>weights_editor!P44</f>
        <v>3.6</v>
      </c>
      <c r="H374" s="89">
        <f>weights_editor!Q44</f>
        <v>0.3</v>
      </c>
      <c r="I374" s="91" t="s">
        <v>431</v>
      </c>
    </row>
    <row r="375" ht="22.5" customHeight="1">
      <c r="A375" s="80" t="str">
        <f t="shared" si="5"/>
        <v>Senior Staff DeveloperSOFT SKILLSEmpathy &amp; HumilityMediation and facilitation</v>
      </c>
      <c r="B375" s="81">
        <v>41.0</v>
      </c>
      <c r="C375" s="82" t="s">
        <v>76</v>
      </c>
      <c r="D375" s="87" t="str">
        <f>weights_editor!A45</f>
        <v>SOFT SKILLS</v>
      </c>
      <c r="E375" s="94" t="str">
        <f>weights_editor!B45</f>
        <v>Empathy &amp; Humility</v>
      </c>
      <c r="F375" s="94" t="str">
        <f>weights_editor!C45</f>
        <v>Mediation and facilitation</v>
      </c>
      <c r="G375" s="88">
        <f>weights_editor!P45</f>
        <v>3.5</v>
      </c>
      <c r="H375" s="89">
        <f>weights_editor!Q45</f>
        <v>0.2</v>
      </c>
      <c r="I375" s="91" t="s">
        <v>432</v>
      </c>
    </row>
    <row r="376" ht="22.5" customHeight="1">
      <c r="A376" s="80" t="str">
        <f t="shared" si="5"/>
        <v>Senior Staff DeveloperSOFT SKILLSEmpathy &amp; HumilityMentoring</v>
      </c>
      <c r="B376" s="81">
        <v>42.0</v>
      </c>
      <c r="C376" s="82" t="s">
        <v>76</v>
      </c>
      <c r="D376" s="87" t="str">
        <f>weights_editor!A46</f>
        <v>SOFT SKILLS</v>
      </c>
      <c r="E376" s="94" t="str">
        <f>weights_editor!B46</f>
        <v>Empathy &amp; Humility</v>
      </c>
      <c r="F376" s="94" t="str">
        <f>weights_editor!C46</f>
        <v>Mentoring</v>
      </c>
      <c r="G376" s="88">
        <f>weights_editor!P46</f>
        <v>3.5</v>
      </c>
      <c r="H376" s="89">
        <f>weights_editor!Q46</f>
        <v>0.2</v>
      </c>
      <c r="I376" s="91" t="s">
        <v>433</v>
      </c>
    </row>
    <row r="377" ht="22.5" customHeight="1">
      <c r="A377" s="80" t="str">
        <f t="shared" si="5"/>
        <v>Senior Staff DeveloperSOFT SKILLSCommunication</v>
      </c>
      <c r="B377" s="81">
        <v>43.0</v>
      </c>
      <c r="C377" s="82" t="s">
        <v>76</v>
      </c>
      <c r="D377" s="87" t="str">
        <f>weights_editor!A47</f>
        <v>SOFT SKILLS</v>
      </c>
      <c r="E377" s="94" t="str">
        <f>weights_editor!B47</f>
        <v>Communication</v>
      </c>
      <c r="F377" s="94" t="str">
        <f>weights_editor!C47</f>
        <v/>
      </c>
      <c r="G377" s="88">
        <f>weights_editor!P47</f>
        <v>2.84</v>
      </c>
      <c r="H377" s="89">
        <f>weights_editor!Q47</f>
        <v>0.2</v>
      </c>
      <c r="I377" s="90" t="s">
        <v>434</v>
      </c>
    </row>
    <row r="378" ht="22.5" customHeight="1">
      <c r="A378" s="80" t="str">
        <f t="shared" si="5"/>
        <v>Senior Staff DeveloperSOFT SKILLSCommunicationKeeping people informed</v>
      </c>
      <c r="B378" s="81">
        <v>44.0</v>
      </c>
      <c r="C378" s="82" t="s">
        <v>76</v>
      </c>
      <c r="D378" s="87" t="str">
        <f>weights_editor!A48</f>
        <v>SOFT SKILLS</v>
      </c>
      <c r="E378" s="94" t="str">
        <f>weights_editor!B48</f>
        <v>Communication</v>
      </c>
      <c r="F378" s="94" t="str">
        <f>weights_editor!C48</f>
        <v>Keeping people informed</v>
      </c>
      <c r="G378" s="88">
        <f>weights_editor!P48</f>
        <v>3.2</v>
      </c>
      <c r="H378" s="89">
        <f>weights_editor!Q48</f>
        <v>0.5</v>
      </c>
      <c r="I378" s="91" t="s">
        <v>435</v>
      </c>
    </row>
    <row r="379" ht="22.5" customHeight="1">
      <c r="A379" s="80" t="str">
        <f t="shared" si="5"/>
        <v>Senior Staff DeveloperSOFT SKILLSCommunicationLooking for feedback</v>
      </c>
      <c r="B379" s="81">
        <v>45.0</v>
      </c>
      <c r="C379" s="82" t="s">
        <v>76</v>
      </c>
      <c r="D379" s="87" t="str">
        <f>weights_editor!A49</f>
        <v>SOFT SKILLS</v>
      </c>
      <c r="E379" s="94" t="str">
        <f>weights_editor!B49</f>
        <v>Communication</v>
      </c>
      <c r="F379" s="94" t="str">
        <f>weights_editor!C49</f>
        <v>Looking for feedback</v>
      </c>
      <c r="G379" s="88">
        <f>weights_editor!P49</f>
        <v>3.4</v>
      </c>
      <c r="H379" s="89">
        <f>weights_editor!Q49</f>
        <v>0.2</v>
      </c>
      <c r="I379" s="91" t="s">
        <v>436</v>
      </c>
    </row>
    <row r="380" ht="22.5" customHeight="1">
      <c r="A380" s="80" t="str">
        <f t="shared" si="5"/>
        <v>Senior Staff DeveloperSOFT SKILLSCommunicationDelivering bad news</v>
      </c>
      <c r="B380" s="81">
        <v>46.0</v>
      </c>
      <c r="C380" s="82" t="s">
        <v>76</v>
      </c>
      <c r="D380" s="87" t="str">
        <f>weights_editor!A50</f>
        <v>SOFT SKILLS</v>
      </c>
      <c r="E380" s="94" t="str">
        <f>weights_editor!B50</f>
        <v>Communication</v>
      </c>
      <c r="F380" s="94" t="str">
        <f>weights_editor!C50</f>
        <v>Delivering bad news</v>
      </c>
      <c r="G380" s="88">
        <f>weights_editor!P50</f>
        <v>2.8</v>
      </c>
      <c r="H380" s="89">
        <f>weights_editor!Q50</f>
        <v>0.1</v>
      </c>
      <c r="I380" s="91" t="s">
        <v>437</v>
      </c>
    </row>
    <row r="381" ht="22.5" customHeight="1">
      <c r="A381" s="80" t="str">
        <f t="shared" si="5"/>
        <v>Senior Staff DeveloperSOFT SKILLSCommunicationMentoring communicators</v>
      </c>
      <c r="B381" s="81">
        <v>47.0</v>
      </c>
      <c r="C381" s="82" t="s">
        <v>76</v>
      </c>
      <c r="D381" s="87" t="str">
        <f>weights_editor!A51</f>
        <v>SOFT SKILLS</v>
      </c>
      <c r="E381" s="94" t="str">
        <f>weights_editor!B51</f>
        <v>Communication</v>
      </c>
      <c r="F381" s="94" t="str">
        <f>weights_editor!C51</f>
        <v>Mentoring communicators</v>
      </c>
      <c r="G381" s="88">
        <f>weights_editor!P51</f>
        <v>2.8</v>
      </c>
      <c r="H381" s="89">
        <f>weights_editor!Q51</f>
        <v>0.1</v>
      </c>
      <c r="I381" s="91" t="s">
        <v>438</v>
      </c>
    </row>
    <row r="382" ht="22.5" customHeight="1">
      <c r="A382" s="80" t="str">
        <f t="shared" si="5"/>
        <v>Senior Staff DeveloperSOFT SKILLSInitiative</v>
      </c>
      <c r="B382" s="81">
        <v>48.0</v>
      </c>
      <c r="C382" s="82" t="s">
        <v>76</v>
      </c>
      <c r="D382" s="87" t="str">
        <f>weights_editor!A52</f>
        <v>SOFT SKILLS</v>
      </c>
      <c r="E382" s="94" t="str">
        <f>weights_editor!B52</f>
        <v>Initiative</v>
      </c>
      <c r="F382" s="94" t="str">
        <f>weights_editor!C52</f>
        <v/>
      </c>
      <c r="G382" s="88">
        <f>weights_editor!P52</f>
        <v>3.25</v>
      </c>
      <c r="H382" s="89">
        <f>weights_editor!Q52</f>
        <v>0.2</v>
      </c>
      <c r="I382" s="90" t="s">
        <v>439</v>
      </c>
    </row>
    <row r="383" ht="22.5" customHeight="1">
      <c r="A383" s="80" t="str">
        <f t="shared" si="5"/>
        <v>Senior Staff DeveloperSOFT SKILLSInitiativeCan-do attitude</v>
      </c>
      <c r="B383" s="81">
        <v>49.0</v>
      </c>
      <c r="C383" s="82" t="s">
        <v>76</v>
      </c>
      <c r="D383" s="87" t="str">
        <f>weights_editor!A53</f>
        <v>SOFT SKILLS</v>
      </c>
      <c r="E383" s="94" t="str">
        <f>weights_editor!B53</f>
        <v>Initiative</v>
      </c>
      <c r="F383" s="94" t="str">
        <f>weights_editor!C53</f>
        <v>Can-do attitude</v>
      </c>
      <c r="G383" s="88">
        <f>weights_editor!P53</f>
        <v>3.4</v>
      </c>
      <c r="H383" s="89">
        <f>weights_editor!Q53</f>
        <v>0.5</v>
      </c>
      <c r="I383" s="91" t="s">
        <v>440</v>
      </c>
    </row>
    <row r="384" ht="22.5" customHeight="1">
      <c r="A384" s="80" t="str">
        <f t="shared" si="5"/>
        <v>Senior Staff DeveloperSOFT SKILLSInitiativePro-activity in seeking help</v>
      </c>
      <c r="B384" s="81">
        <v>50.0</v>
      </c>
      <c r="C384" s="82" t="s">
        <v>76</v>
      </c>
      <c r="D384" s="87" t="str">
        <f>weights_editor!A54</f>
        <v>SOFT SKILLS</v>
      </c>
      <c r="E384" s="94" t="str">
        <f>weights_editor!B54</f>
        <v>Initiative</v>
      </c>
      <c r="F384" s="94" t="str">
        <f>weights_editor!C54</f>
        <v>Pro-activity in seeking help</v>
      </c>
      <c r="G384" s="88">
        <f>weights_editor!P54</f>
        <v>3</v>
      </c>
      <c r="H384" s="89">
        <f>weights_editor!Q54</f>
        <v>0.25</v>
      </c>
      <c r="I384" s="91" t="s">
        <v>441</v>
      </c>
    </row>
    <row r="385" ht="22.5" customHeight="1">
      <c r="A385" s="80" t="str">
        <f t="shared" si="5"/>
        <v>Senior Staff DeveloperSOFT SKILLSInitiativeFollow through</v>
      </c>
      <c r="B385" s="81">
        <v>51.0</v>
      </c>
      <c r="C385" s="82" t="s">
        <v>76</v>
      </c>
      <c r="D385" s="87" t="str">
        <f>weights_editor!A55</f>
        <v>SOFT SKILLS</v>
      </c>
      <c r="E385" s="94" t="str">
        <f>weights_editor!B55</f>
        <v>Initiative</v>
      </c>
      <c r="F385" s="94" t="str">
        <f>weights_editor!C55</f>
        <v>Follow through</v>
      </c>
      <c r="G385" s="88">
        <f>weights_editor!P55</f>
        <v>3.2</v>
      </c>
      <c r="H385" s="89">
        <f>weights_editor!Q55</f>
        <v>0.25</v>
      </c>
      <c r="I385" s="91" t="s">
        <v>442</v>
      </c>
    </row>
    <row r="386" ht="22.5" customHeight="1">
      <c r="A386" s="80" t="str">
        <f t="shared" si="5"/>
        <v>Senior Staff DeveloperSOFT SKILLSObjectivity &amp; Adaptability</v>
      </c>
      <c r="B386" s="81">
        <v>52.0</v>
      </c>
      <c r="C386" s="82" t="s">
        <v>76</v>
      </c>
      <c r="D386" s="87" t="str">
        <f>weights_editor!A56</f>
        <v>SOFT SKILLS</v>
      </c>
      <c r="E386" s="94" t="str">
        <f>weights_editor!B56</f>
        <v>Objectivity &amp; Adaptability</v>
      </c>
      <c r="F386" s="94" t="str">
        <f>weights_editor!C56</f>
        <v/>
      </c>
      <c r="G386" s="88">
        <f>weights_editor!P56</f>
        <v>3.62</v>
      </c>
      <c r="H386" s="89">
        <f>weights_editor!Q56</f>
        <v>0.1</v>
      </c>
      <c r="I386" s="90" t="s">
        <v>443</v>
      </c>
    </row>
    <row r="387" ht="22.5" customHeight="1">
      <c r="A387" s="80" t="str">
        <f t="shared" si="5"/>
        <v>Senior Staff DeveloperSOFT SKILLSObjectivity &amp; AdaptabilityEfficient decision-making</v>
      </c>
      <c r="B387" s="81">
        <v>53.0</v>
      </c>
      <c r="C387" s="82" t="s">
        <v>76</v>
      </c>
      <c r="D387" s="87" t="str">
        <f>weights_editor!A57</f>
        <v>SOFT SKILLS</v>
      </c>
      <c r="E387" s="94" t="str">
        <f>weights_editor!B57</f>
        <v>Objectivity &amp; Adaptability</v>
      </c>
      <c r="F387" s="94" t="str">
        <f>weights_editor!C57</f>
        <v>Efficient decision-making</v>
      </c>
      <c r="G387" s="88">
        <f>weights_editor!P57</f>
        <v>3.6</v>
      </c>
      <c r="H387" s="89">
        <f>weights_editor!Q57</f>
        <v>0.5</v>
      </c>
      <c r="I387" s="91" t="s">
        <v>444</v>
      </c>
    </row>
    <row r="388" ht="22.5" customHeight="1">
      <c r="A388" s="80" t="str">
        <f t="shared" si="5"/>
        <v>Senior Staff DeveloperSOFT SKILLSObjectivity &amp; AdaptabilitySelf improvement</v>
      </c>
      <c r="B388" s="81">
        <v>54.0</v>
      </c>
      <c r="C388" s="82" t="s">
        <v>76</v>
      </c>
      <c r="D388" s="87" t="str">
        <f>weights_editor!A58</f>
        <v>SOFT SKILLS</v>
      </c>
      <c r="E388" s="94" t="str">
        <f>weights_editor!B58</f>
        <v>Objectivity &amp; Adaptability</v>
      </c>
      <c r="F388" s="94" t="str">
        <f>weights_editor!C58</f>
        <v>Self improvement</v>
      </c>
      <c r="G388" s="88">
        <f>weights_editor!P58</f>
        <v>3.8</v>
      </c>
      <c r="H388" s="89">
        <f>weights_editor!Q58</f>
        <v>0.2</v>
      </c>
      <c r="I388" s="91" t="s">
        <v>445</v>
      </c>
    </row>
    <row r="389" ht="22.5" customHeight="1">
      <c r="A389" s="80" t="str">
        <f t="shared" si="5"/>
        <v>Senior Staff DeveloperSOFT SKILLSObjectivity &amp; AdaptabilityObjectivity</v>
      </c>
      <c r="B389" s="81">
        <v>55.0</v>
      </c>
      <c r="C389" s="82" t="s">
        <v>76</v>
      </c>
      <c r="D389" s="87" t="str">
        <f>weights_editor!A59</f>
        <v>SOFT SKILLS</v>
      </c>
      <c r="E389" s="94" t="str">
        <f>weights_editor!B59</f>
        <v>Objectivity &amp; Adaptability</v>
      </c>
      <c r="F389" s="94" t="str">
        <f>weights_editor!C59</f>
        <v>Objectivity</v>
      </c>
      <c r="G389" s="88">
        <f>weights_editor!P59</f>
        <v>3.6</v>
      </c>
      <c r="H389" s="89">
        <f>weights_editor!Q59</f>
        <v>0.2</v>
      </c>
      <c r="I389" s="91" t="s">
        <v>446</v>
      </c>
    </row>
    <row r="390" ht="22.5" customHeight="1">
      <c r="A390" s="80" t="str">
        <f t="shared" si="5"/>
        <v>Senior Staff DeveloperSOFT SKILLSObjectivity &amp; AdaptabilityTime management</v>
      </c>
      <c r="B390" s="81">
        <v>56.0</v>
      </c>
      <c r="C390" s="82" t="s">
        <v>76</v>
      </c>
      <c r="D390" s="87" t="str">
        <f>weights_editor!A60</f>
        <v>SOFT SKILLS</v>
      </c>
      <c r="E390" s="94" t="str">
        <f>weights_editor!B60</f>
        <v>Objectivity &amp; Adaptability</v>
      </c>
      <c r="F390" s="94" t="str">
        <f>weights_editor!C60</f>
        <v>Time management</v>
      </c>
      <c r="G390" s="88">
        <f>weights_editor!P60</f>
        <v>3.4</v>
      </c>
      <c r="H390" s="89">
        <f>weights_editor!Q60</f>
        <v>0.1</v>
      </c>
      <c r="I390" s="91" t="s">
        <v>447</v>
      </c>
    </row>
    <row r="391" ht="22.5" customHeight="1">
      <c r="A391" s="80" t="str">
        <f t="shared" si="5"/>
        <v>Senior Staff DeveloperSOFT SKILLSBusiness Acumen</v>
      </c>
      <c r="B391" s="81">
        <v>57.0</v>
      </c>
      <c r="C391" s="82" t="s">
        <v>76</v>
      </c>
      <c r="D391" s="87" t="str">
        <f>weights_editor!A61</f>
        <v>SOFT SKILLS</v>
      </c>
      <c r="E391" s="94" t="str">
        <f>weights_editor!B61</f>
        <v>Business Acumen</v>
      </c>
      <c r="F391" s="94" t="str">
        <f>weights_editor!C61</f>
        <v/>
      </c>
      <c r="G391" s="88">
        <f>weights_editor!P61</f>
        <v>3.2</v>
      </c>
      <c r="H391" s="89">
        <f>weights_editor!Q61</f>
        <v>0.1</v>
      </c>
      <c r="I391" s="90" t="s">
        <v>448</v>
      </c>
    </row>
    <row r="392" ht="22.5" customHeight="1">
      <c r="A392" s="80" t="str">
        <f t="shared" si="5"/>
        <v>Senior Staff DeveloperSOFT SKILLSBusiness AcumenUnderstanding level</v>
      </c>
      <c r="B392" s="81">
        <v>58.0</v>
      </c>
      <c r="C392" s="82" t="s">
        <v>76</v>
      </c>
      <c r="D392" s="87" t="str">
        <f>weights_editor!A62</f>
        <v>SOFT SKILLS</v>
      </c>
      <c r="E392" s="94" t="str">
        <f>weights_editor!B62</f>
        <v>Business Acumen</v>
      </c>
      <c r="F392" s="94" t="str">
        <f>weights_editor!C62</f>
        <v>Understanding level</v>
      </c>
      <c r="G392" s="88">
        <f>weights_editor!P62</f>
        <v>3.2</v>
      </c>
      <c r="H392" s="89">
        <f>weights_editor!Q62</f>
        <v>1</v>
      </c>
      <c r="I392" s="91" t="s">
        <v>449</v>
      </c>
    </row>
    <row r="393" ht="22.5" customHeight="1">
      <c r="A393" s="80" t="str">
        <f t="shared" si="5"/>
        <v>Senior Staff DeveloperLEADERSHIP</v>
      </c>
      <c r="B393" s="81">
        <v>59.0</v>
      </c>
      <c r="C393" s="82" t="s">
        <v>76</v>
      </c>
      <c r="D393" s="93" t="str">
        <f>weights_editor!A64</f>
        <v>LEADERSHIP</v>
      </c>
      <c r="E393" s="94" t="str">
        <f>weights_editor!B64</f>
        <v/>
      </c>
      <c r="F393" s="94" t="str">
        <f>weights_editor!C64</f>
        <v/>
      </c>
      <c r="G393" s="84">
        <f>weights_editor!P64</f>
        <v>2.598</v>
      </c>
      <c r="H393" s="85">
        <f>weights_editor!Q64</f>
        <v>0.2</v>
      </c>
      <c r="I393" s="92"/>
    </row>
    <row r="394" ht="22.5" customHeight="1">
      <c r="A394" s="80" t="str">
        <f t="shared" si="5"/>
        <v>Senior Staff DeveloperLEADERSHIPHiring and Org Design</v>
      </c>
      <c r="B394" s="81">
        <v>60.0</v>
      </c>
      <c r="C394" s="82" t="s">
        <v>76</v>
      </c>
      <c r="D394" s="87" t="str">
        <f>weights_editor!A65</f>
        <v>LEADERSHIP</v>
      </c>
      <c r="E394" s="94" t="str">
        <f>weights_editor!B65</f>
        <v>Hiring and Org Design</v>
      </c>
      <c r="F394" s="94" t="str">
        <f>weights_editor!C65</f>
        <v/>
      </c>
      <c r="G394" s="88">
        <f>weights_editor!P65</f>
        <v>2.24</v>
      </c>
      <c r="H394" s="89">
        <f>weights_editor!Q65</f>
        <v>0.4</v>
      </c>
      <c r="I394" s="90" t="s">
        <v>449</v>
      </c>
    </row>
    <row r="395" ht="22.5" customHeight="1">
      <c r="A395" s="80" t="str">
        <f t="shared" si="5"/>
        <v>Senior Staff DeveloperLEADERSHIPHiring and Org DesignDeploying Teams</v>
      </c>
      <c r="B395" s="81">
        <v>61.0</v>
      </c>
      <c r="C395" s="82" t="s">
        <v>76</v>
      </c>
      <c r="D395" s="87" t="str">
        <f>weights_editor!A66</f>
        <v>LEADERSHIP</v>
      </c>
      <c r="E395" s="94" t="str">
        <f>weights_editor!B66</f>
        <v>Hiring and Org Design</v>
      </c>
      <c r="F395" s="94" t="str">
        <f>weights_editor!C66</f>
        <v>Deploying Teams</v>
      </c>
      <c r="G395" s="88">
        <f>weights_editor!P66</f>
        <v>2.4</v>
      </c>
      <c r="H395" s="89">
        <f>weights_editor!Q66</f>
        <v>0.5</v>
      </c>
      <c r="I395" s="91" t="s">
        <v>450</v>
      </c>
    </row>
    <row r="396" ht="22.5" customHeight="1">
      <c r="A396" s="80" t="str">
        <f t="shared" si="5"/>
        <v>Senior Staff DeveloperLEADERSHIPHiring and Org DesignEmployer Brand</v>
      </c>
      <c r="B396" s="81">
        <v>62.0</v>
      </c>
      <c r="C396" s="82" t="s">
        <v>76</v>
      </c>
      <c r="D396" s="87" t="str">
        <f>weights_editor!A67</f>
        <v>LEADERSHIP</v>
      </c>
      <c r="E396" s="94" t="str">
        <f>weights_editor!B67</f>
        <v>Hiring and Org Design</v>
      </c>
      <c r="F396" s="94" t="str">
        <f>weights_editor!C67</f>
        <v>Employer Brand</v>
      </c>
      <c r="G396" s="88">
        <f>weights_editor!P67</f>
        <v>2.8</v>
      </c>
      <c r="H396" s="89">
        <f>weights_editor!Q67</f>
        <v>0.3</v>
      </c>
      <c r="I396" s="91" t="s">
        <v>451</v>
      </c>
    </row>
    <row r="397" ht="22.5" customHeight="1">
      <c r="A397" s="80" t="str">
        <f t="shared" si="5"/>
        <v>Senior Staff DeveloperLEADERSHIPHiring and Org DesignHiring</v>
      </c>
      <c r="B397" s="81">
        <v>63.0</v>
      </c>
      <c r="C397" s="82" t="s">
        <v>76</v>
      </c>
      <c r="D397" s="87" t="str">
        <f>weights_editor!A68</f>
        <v>LEADERSHIP</v>
      </c>
      <c r="E397" s="94" t="str">
        <f>weights_editor!B68</f>
        <v>Hiring and Org Design</v>
      </c>
      <c r="F397" s="94" t="str">
        <f>weights_editor!C68</f>
        <v>Hiring</v>
      </c>
      <c r="G397" s="88">
        <f>weights_editor!P68</f>
        <v>1</v>
      </c>
      <c r="H397" s="89">
        <f>weights_editor!Q68</f>
        <v>0.2</v>
      </c>
      <c r="I397" s="91" t="s">
        <v>452</v>
      </c>
    </row>
    <row r="398" ht="22.5" customHeight="1">
      <c r="A398" s="80" t="str">
        <f t="shared" si="5"/>
        <v>Senior Staff DeveloperLEADERSHIPStakeholder Management</v>
      </c>
      <c r="B398" s="81">
        <v>64.0</v>
      </c>
      <c r="C398" s="82" t="s">
        <v>76</v>
      </c>
      <c r="D398" s="87" t="str">
        <f>weights_editor!A69</f>
        <v>LEADERSHIP</v>
      </c>
      <c r="E398" s="94" t="str">
        <f>weights_editor!B69</f>
        <v>Stakeholder Management</v>
      </c>
      <c r="F398" s="94" t="str">
        <f>weights_editor!C69</f>
        <v/>
      </c>
      <c r="G398" s="88">
        <f>weights_editor!P69</f>
        <v>3.6</v>
      </c>
      <c r="H398" s="89">
        <f>weights_editor!Q69</f>
        <v>0.2</v>
      </c>
      <c r="I398" s="90" t="s">
        <v>453</v>
      </c>
    </row>
    <row r="399" ht="22.5" customHeight="1">
      <c r="A399" s="80" t="str">
        <f t="shared" si="5"/>
        <v>Senior Staff DeveloperLEADERSHIPStakeholder ManagementManaging Goals and Expectations</v>
      </c>
      <c r="B399" s="81">
        <v>65.0</v>
      </c>
      <c r="C399" s="82" t="s">
        <v>76</v>
      </c>
      <c r="D399" s="87" t="str">
        <f>weights_editor!A70</f>
        <v>LEADERSHIP</v>
      </c>
      <c r="E399" s="94" t="str">
        <f>weights_editor!B70</f>
        <v>Stakeholder Management</v>
      </c>
      <c r="F399" s="94" t="str">
        <f>weights_editor!C70</f>
        <v>Managing Goals and Expectations</v>
      </c>
      <c r="G399" s="88">
        <f>weights_editor!P70</f>
        <v>3.6</v>
      </c>
      <c r="H399" s="89">
        <f>weights_editor!Q70</f>
        <v>0.5</v>
      </c>
      <c r="I399" s="91" t="s">
        <v>454</v>
      </c>
    </row>
    <row r="400" ht="22.5" customHeight="1">
      <c r="A400" s="80" t="str">
        <f t="shared" si="5"/>
        <v>Senior Staff DeveloperLEADERSHIPStakeholder ManagementForesight</v>
      </c>
      <c r="B400" s="81">
        <v>66.0</v>
      </c>
      <c r="C400" s="82" t="s">
        <v>76</v>
      </c>
      <c r="D400" s="87" t="str">
        <f>weights_editor!A71</f>
        <v>LEADERSHIP</v>
      </c>
      <c r="E400" s="94" t="str">
        <f>weights_editor!B71</f>
        <v>Stakeholder Management</v>
      </c>
      <c r="F400" s="94" t="str">
        <f>weights_editor!C71</f>
        <v>Foresight</v>
      </c>
      <c r="G400" s="88">
        <f>weights_editor!P71</f>
        <v>3.4</v>
      </c>
      <c r="H400" s="89">
        <f>weights_editor!Q71</f>
        <v>0.2</v>
      </c>
      <c r="I400" s="91" t="s">
        <v>455</v>
      </c>
    </row>
    <row r="401" ht="22.5" customHeight="1">
      <c r="A401" s="80" t="str">
        <f t="shared" si="5"/>
        <v>Senior Staff DeveloperLEADERSHIPStakeholder ManagementEngendering Trust</v>
      </c>
      <c r="B401" s="81">
        <v>67.0</v>
      </c>
      <c r="C401" s="82" t="s">
        <v>76</v>
      </c>
      <c r="D401" s="87" t="str">
        <f>weights_editor!A72</f>
        <v>LEADERSHIP</v>
      </c>
      <c r="E401" s="94" t="str">
        <f>weights_editor!B72</f>
        <v>Stakeholder Management</v>
      </c>
      <c r="F401" s="94" t="str">
        <f>weights_editor!C72</f>
        <v>Engendering Trust</v>
      </c>
      <c r="G401" s="88">
        <f>weights_editor!P72</f>
        <v>3.8</v>
      </c>
      <c r="H401" s="89">
        <f>weights_editor!Q72</f>
        <v>0.2</v>
      </c>
      <c r="I401" s="91" t="s">
        <v>456</v>
      </c>
    </row>
    <row r="402" ht="22.5" customHeight="1">
      <c r="A402" s="80" t="str">
        <f t="shared" si="5"/>
        <v>Senior Staff DeveloperLEADERSHIPStakeholder ManagementProtecting the Team</v>
      </c>
      <c r="B402" s="81">
        <v>68.0</v>
      </c>
      <c r="C402" s="82" t="s">
        <v>76</v>
      </c>
      <c r="D402" s="87" t="str">
        <f>weights_editor!A73</f>
        <v>LEADERSHIP</v>
      </c>
      <c r="E402" s="94" t="str">
        <f>weights_editor!B73</f>
        <v>Stakeholder Management</v>
      </c>
      <c r="F402" s="94" t="str">
        <f>weights_editor!C73</f>
        <v>Protecting the Team</v>
      </c>
      <c r="G402" s="88">
        <f>weights_editor!P73</f>
        <v>3.6</v>
      </c>
      <c r="H402" s="89">
        <f>weights_editor!Q73</f>
        <v>0.1</v>
      </c>
      <c r="I402" s="91" t="s">
        <v>457</v>
      </c>
    </row>
    <row r="403" ht="22.5" customHeight="1">
      <c r="A403" s="80" t="str">
        <f t="shared" si="5"/>
        <v>Senior Staff DeveloperLEADERSHIPTeam Leadership</v>
      </c>
      <c r="B403" s="81">
        <v>69.0</v>
      </c>
      <c r="C403" s="82" t="s">
        <v>76</v>
      </c>
      <c r="D403" s="87" t="str">
        <f>weights_editor!A74</f>
        <v>LEADERSHIP</v>
      </c>
      <c r="E403" s="94" t="str">
        <f>weights_editor!B74</f>
        <v>Team Leadership</v>
      </c>
      <c r="F403" s="94" t="str">
        <f>weights_editor!C74</f>
        <v/>
      </c>
      <c r="G403" s="88">
        <f>weights_editor!P74</f>
        <v>2.6</v>
      </c>
      <c r="H403" s="89">
        <f>weights_editor!Q74</f>
        <v>0.1</v>
      </c>
      <c r="I403" s="90" t="s">
        <v>458</v>
      </c>
    </row>
    <row r="404" ht="22.5" customHeight="1">
      <c r="A404" s="80" t="str">
        <f t="shared" si="5"/>
        <v>Senior Staff DeveloperLEADERSHIPTeam LeadershipPutting the Team first</v>
      </c>
      <c r="B404" s="81">
        <v>70.0</v>
      </c>
      <c r="C404" s="82" t="s">
        <v>76</v>
      </c>
      <c r="D404" s="87" t="str">
        <f>weights_editor!A75</f>
        <v>LEADERSHIP</v>
      </c>
      <c r="E404" s="94" t="str">
        <f>weights_editor!B75</f>
        <v>Team Leadership</v>
      </c>
      <c r="F404" s="94" t="str">
        <f>weights_editor!C75</f>
        <v>Putting the Team first</v>
      </c>
      <c r="G404" s="88">
        <f>weights_editor!P75</f>
        <v>3</v>
      </c>
      <c r="H404" s="89">
        <f>weights_editor!Q75</f>
        <v>0.5</v>
      </c>
      <c r="I404" s="91" t="s">
        <v>459</v>
      </c>
    </row>
    <row r="405" ht="22.5" customHeight="1">
      <c r="A405" s="80" t="str">
        <f t="shared" si="5"/>
        <v>Senior Staff DeveloperLEADERSHIPTeam LeadershipDifficult Conversations</v>
      </c>
      <c r="B405" s="81">
        <v>71.0</v>
      </c>
      <c r="C405" s="82" t="s">
        <v>76</v>
      </c>
      <c r="D405" s="87" t="str">
        <f>weights_editor!A76</f>
        <v>LEADERSHIP</v>
      </c>
      <c r="E405" s="94" t="str">
        <f>weights_editor!B76</f>
        <v>Team Leadership</v>
      </c>
      <c r="F405" s="94" t="str">
        <f>weights_editor!C76</f>
        <v>Difficult Conversations</v>
      </c>
      <c r="G405" s="88">
        <f>weights_editor!P76</f>
        <v>2</v>
      </c>
      <c r="H405" s="89">
        <f>weights_editor!Q76</f>
        <v>0.2</v>
      </c>
      <c r="I405" s="91" t="s">
        <v>460</v>
      </c>
    </row>
    <row r="406" ht="22.5" customHeight="1">
      <c r="A406" s="80" t="str">
        <f t="shared" si="5"/>
        <v>Senior Staff DeveloperLEADERSHIPTeam LeadershipReliability</v>
      </c>
      <c r="B406" s="81">
        <v>72.0</v>
      </c>
      <c r="C406" s="82" t="s">
        <v>76</v>
      </c>
      <c r="D406" s="87" t="str">
        <f>weights_editor!A77</f>
        <v>LEADERSHIP</v>
      </c>
      <c r="E406" s="94" t="str">
        <f>weights_editor!B77</f>
        <v>Team Leadership</v>
      </c>
      <c r="F406" s="94" t="str">
        <f>weights_editor!C77</f>
        <v>Reliability</v>
      </c>
      <c r="G406" s="88">
        <f>weights_editor!P77</f>
        <v>2.4</v>
      </c>
      <c r="H406" s="89">
        <f>weights_editor!Q77</f>
        <v>0.2</v>
      </c>
      <c r="I406" s="91" t="s">
        <v>461</v>
      </c>
    </row>
    <row r="407" ht="22.5" customHeight="1">
      <c r="A407" s="80" t="str">
        <f t="shared" si="5"/>
        <v>Senior Staff DeveloperLEADERSHIPTeam LeadershipVulnerability</v>
      </c>
      <c r="B407" s="81">
        <v>73.0</v>
      </c>
      <c r="C407" s="82" t="s">
        <v>76</v>
      </c>
      <c r="D407" s="87" t="str">
        <f>weights_editor!A78</f>
        <v>LEADERSHIP</v>
      </c>
      <c r="E407" s="94" t="str">
        <f>weights_editor!B78</f>
        <v>Team Leadership</v>
      </c>
      <c r="F407" s="94" t="str">
        <f>weights_editor!C78</f>
        <v>Vulnerability</v>
      </c>
      <c r="G407" s="88">
        <f>weights_editor!P78</f>
        <v>2.2</v>
      </c>
      <c r="H407" s="89">
        <f>weights_editor!Q78</f>
        <v>0.1</v>
      </c>
      <c r="I407" s="91" t="s">
        <v>462</v>
      </c>
    </row>
    <row r="408" ht="22.5" customHeight="1">
      <c r="A408" s="80" t="str">
        <f t="shared" si="5"/>
        <v>Senior Staff DeveloperLEADERSHIPDeveloping Others</v>
      </c>
      <c r="B408" s="81">
        <v>74.0</v>
      </c>
      <c r="C408" s="82" t="s">
        <v>76</v>
      </c>
      <c r="D408" s="87" t="str">
        <f>weights_editor!A79</f>
        <v>LEADERSHIP</v>
      </c>
      <c r="E408" s="94" t="str">
        <f>weights_editor!B79</f>
        <v>Developing Others</v>
      </c>
      <c r="F408" s="94" t="str">
        <f>weights_editor!C79</f>
        <v/>
      </c>
      <c r="G408" s="88">
        <f>weights_editor!P79</f>
        <v>2.42</v>
      </c>
      <c r="H408" s="89">
        <f>weights_editor!Q79</f>
        <v>0.2</v>
      </c>
      <c r="I408" s="90" t="s">
        <v>463</v>
      </c>
    </row>
    <row r="409" ht="22.5" customHeight="1">
      <c r="A409" s="80" t="str">
        <f t="shared" si="5"/>
        <v>Senior Staff DeveloperLEADERSHIPDeveloping OthersIdentifying strengths</v>
      </c>
      <c r="B409" s="81">
        <v>75.0</v>
      </c>
      <c r="C409" s="82" t="s">
        <v>76</v>
      </c>
      <c r="D409" s="87" t="str">
        <f>weights_editor!A80</f>
        <v>LEADERSHIP</v>
      </c>
      <c r="E409" s="94" t="str">
        <f>weights_editor!B80</f>
        <v>Developing Others</v>
      </c>
      <c r="F409" s="94" t="str">
        <f>weights_editor!C80</f>
        <v>Identifying strengths</v>
      </c>
      <c r="G409" s="88">
        <f>weights_editor!P80</f>
        <v>2.6</v>
      </c>
      <c r="H409" s="89">
        <f>weights_editor!Q80</f>
        <v>0.3</v>
      </c>
      <c r="I409" s="91" t="s">
        <v>464</v>
      </c>
    </row>
    <row r="410" ht="22.5" customHeight="1">
      <c r="A410" s="80" t="str">
        <f t="shared" si="5"/>
        <v>Senior Staff DeveloperLEADERSHIPDeveloping OthersSupporting team growth</v>
      </c>
      <c r="B410" s="81">
        <v>76.0</v>
      </c>
      <c r="C410" s="82" t="s">
        <v>76</v>
      </c>
      <c r="D410" s="87" t="str">
        <f>weights_editor!A81</f>
        <v>LEADERSHIP</v>
      </c>
      <c r="E410" s="94" t="str">
        <f>weights_editor!B81</f>
        <v>Developing Others</v>
      </c>
      <c r="F410" s="94" t="str">
        <f>weights_editor!C81</f>
        <v>Supporting team growth</v>
      </c>
      <c r="G410" s="88">
        <f>weights_editor!P81</f>
        <v>2.4</v>
      </c>
      <c r="H410" s="89">
        <f>weights_editor!Q81</f>
        <v>0.4</v>
      </c>
      <c r="I410" s="91" t="s">
        <v>465</v>
      </c>
    </row>
    <row r="411" ht="22.5" customHeight="1">
      <c r="A411" s="80" t="str">
        <f t="shared" si="5"/>
        <v>Senior Staff DeveloperLEADERSHIPDeveloping OthersInvesting in process</v>
      </c>
      <c r="B411" s="81">
        <v>77.0</v>
      </c>
      <c r="C411" s="82" t="s">
        <v>76</v>
      </c>
      <c r="D411" s="87" t="str">
        <f>weights_editor!A82</f>
        <v>LEADERSHIP</v>
      </c>
      <c r="E411" s="94" t="str">
        <f>weights_editor!B82</f>
        <v>Developing Others</v>
      </c>
      <c r="F411" s="94" t="str">
        <f>weights_editor!C82</f>
        <v>Investing in process</v>
      </c>
      <c r="G411" s="88">
        <f>weights_editor!P82</f>
        <v>2.4</v>
      </c>
      <c r="H411" s="89">
        <f>weights_editor!Q82</f>
        <v>0.1</v>
      </c>
      <c r="I411" s="91" t="s">
        <v>466</v>
      </c>
    </row>
    <row r="412" ht="22.5" customHeight="1">
      <c r="A412" s="80" t="str">
        <f t="shared" si="5"/>
        <v>Senior Staff DeveloperLEADERSHIPDeveloping OthersFeedback on work</v>
      </c>
      <c r="B412" s="81">
        <v>78.0</v>
      </c>
      <c r="C412" s="82" t="s">
        <v>76</v>
      </c>
      <c r="D412" s="87" t="str">
        <f>weights_editor!A83</f>
        <v>LEADERSHIP</v>
      </c>
      <c r="E412" s="94" t="str">
        <f>weights_editor!B83</f>
        <v>Developing Others</v>
      </c>
      <c r="F412" s="94" t="str">
        <f>weights_editor!C83</f>
        <v>Feedback on work</v>
      </c>
      <c r="G412" s="88">
        <f>weights_editor!P83</f>
        <v>2.2</v>
      </c>
      <c r="H412" s="89">
        <f>weights_editor!Q83</f>
        <v>0.2</v>
      </c>
      <c r="I412" s="91" t="s">
        <v>467</v>
      </c>
    </row>
    <row r="413" ht="22.5" customHeight="1">
      <c r="A413" s="80" t="str">
        <f t="shared" si="5"/>
        <v>Senior Staff DeveloperLEADERSHIPCulture &amp; Togetherness</v>
      </c>
      <c r="B413" s="81">
        <v>79.0</v>
      </c>
      <c r="C413" s="82" t="s">
        <v>76</v>
      </c>
      <c r="D413" s="87" t="str">
        <f>weights_editor!A84</f>
        <v>LEADERSHIP</v>
      </c>
      <c r="E413" s="94" t="str">
        <f>weights_editor!B84</f>
        <v>Culture &amp; Togetherness</v>
      </c>
      <c r="F413" s="94" t="str">
        <f>weights_editor!C84</f>
        <v/>
      </c>
      <c r="G413" s="88">
        <f>weights_editor!P84</f>
        <v>2.38</v>
      </c>
      <c r="H413" s="89">
        <f>weights_editor!Q84</f>
        <v>0.1</v>
      </c>
      <c r="I413" s="90" t="s">
        <v>468</v>
      </c>
    </row>
    <row r="414" ht="22.5" customHeight="1">
      <c r="A414" s="80" t="str">
        <f t="shared" si="5"/>
        <v>Senior Staff DeveloperLEADERSHIPCulture &amp; TogethernessSetting an Example</v>
      </c>
      <c r="B414" s="81">
        <v>80.0</v>
      </c>
      <c r="C414" s="82" t="s">
        <v>76</v>
      </c>
      <c r="D414" s="87" t="str">
        <f>weights_editor!A85</f>
        <v>LEADERSHIP</v>
      </c>
      <c r="E414" s="94" t="str">
        <f>weights_editor!B85</f>
        <v>Culture &amp; Togetherness</v>
      </c>
      <c r="F414" s="94" t="str">
        <f>weights_editor!C85</f>
        <v>Setting an Example</v>
      </c>
      <c r="G414" s="88">
        <f>weights_editor!P85</f>
        <v>2.8</v>
      </c>
      <c r="H414" s="89">
        <f>weights_editor!Q85</f>
        <v>0.3</v>
      </c>
      <c r="I414" s="91" t="s">
        <v>469</v>
      </c>
    </row>
    <row r="415" ht="22.5" customHeight="1">
      <c r="A415" s="80" t="str">
        <f t="shared" si="5"/>
        <v>Senior Staff DeveloperLEADERSHIPCulture &amp; TogethernessEncouraging diverse opinions</v>
      </c>
      <c r="B415" s="81">
        <v>81.0</v>
      </c>
      <c r="C415" s="82" t="s">
        <v>76</v>
      </c>
      <c r="D415" s="87" t="str">
        <f>weights_editor!A86</f>
        <v>LEADERSHIP</v>
      </c>
      <c r="E415" s="94" t="str">
        <f>weights_editor!B86</f>
        <v>Culture &amp; Togetherness</v>
      </c>
      <c r="F415" s="94" t="str">
        <f>weights_editor!C86</f>
        <v>Encouraging diverse opinions</v>
      </c>
      <c r="G415" s="88">
        <f>weights_editor!P86</f>
        <v>2.2</v>
      </c>
      <c r="H415" s="89">
        <f>weights_editor!Q86</f>
        <v>0.4</v>
      </c>
      <c r="I415" s="91" t="s">
        <v>470</v>
      </c>
    </row>
    <row r="416" ht="22.5" customHeight="1">
      <c r="A416" s="80" t="str">
        <f t="shared" si="5"/>
        <v>Senior Staff DeveloperLEADERSHIPCulture &amp; TogethernessDeveloping personal relationships</v>
      </c>
      <c r="B416" s="81">
        <v>82.0</v>
      </c>
      <c r="C416" s="82" t="s">
        <v>76</v>
      </c>
      <c r="D416" s="87" t="str">
        <f>weights_editor!A87</f>
        <v>LEADERSHIP</v>
      </c>
      <c r="E416" s="94" t="str">
        <f>weights_editor!B87</f>
        <v>Culture &amp; Togetherness</v>
      </c>
      <c r="F416" s="94" t="str">
        <f>weights_editor!C87</f>
        <v>Developing personal relationships</v>
      </c>
      <c r="G416" s="88">
        <f>weights_editor!P87</f>
        <v>2.2</v>
      </c>
      <c r="H416" s="89">
        <f>weights_editor!Q87</f>
        <v>0.3</v>
      </c>
      <c r="I416" s="91" t="s">
        <v>471</v>
      </c>
    </row>
    <row r="417" ht="22.5" customHeight="1">
      <c r="A417" s="80" t="str">
        <f>TRIM(C417&amp;D417&amp;E417&amp;F417)</f>
        <v>Principal DeveloperENGINEERING CRAFT</v>
      </c>
      <c r="B417" s="81">
        <v>0.0</v>
      </c>
      <c r="C417" s="82" t="s">
        <v>77</v>
      </c>
      <c r="D417" s="93" t="str">
        <f>weights_editor!A3</f>
        <v>ENGINEERING CRAFT</v>
      </c>
      <c r="E417" s="94" t="str">
        <f>weights_editor!B3</f>
        <v/>
      </c>
      <c r="F417" s="94" t="str">
        <f>weights_editor!C3</f>
        <v/>
      </c>
      <c r="G417" s="84">
        <f>weights_editor!S3</f>
        <v>4</v>
      </c>
      <c r="H417" s="85">
        <f>weights_editor!T3</f>
        <v>0.4</v>
      </c>
      <c r="I417" s="92"/>
    </row>
    <row r="418" ht="22.5" customHeight="1">
      <c r="A418" s="80" t="str">
        <f t="shared" ref="A418:A499" si="6">C418&amp;D418&amp;E418&amp;F418</f>
        <v>Principal DeveloperENGINEERING CRAFTWriting Code</v>
      </c>
      <c r="B418" s="81">
        <v>1.0</v>
      </c>
      <c r="C418" s="82" t="s">
        <v>77</v>
      </c>
      <c r="D418" s="87" t="str">
        <f>weights_editor!A4</f>
        <v>ENGINEERING CRAFT</v>
      </c>
      <c r="E418" s="94" t="str">
        <f>weights_editor!B4</f>
        <v>Writing Code</v>
      </c>
      <c r="F418" s="94" t="str">
        <f>weights_editor!C4</f>
        <v/>
      </c>
      <c r="G418" s="88">
        <f>weights_editor!S4</f>
        <v>4</v>
      </c>
      <c r="H418" s="89">
        <f>weights_editor!T4</f>
        <v>0.3</v>
      </c>
      <c r="I418" s="90" t="s">
        <v>472</v>
      </c>
    </row>
    <row r="419" ht="22.5" customHeight="1">
      <c r="A419" s="80" t="str">
        <f t="shared" si="6"/>
        <v>Principal DeveloperENGINEERING CRAFTWriting CodeQuality</v>
      </c>
      <c r="B419" s="81">
        <v>2.0</v>
      </c>
      <c r="C419" s="82" t="s">
        <v>77</v>
      </c>
      <c r="D419" s="87" t="str">
        <f>weights_editor!A5</f>
        <v>ENGINEERING CRAFT</v>
      </c>
      <c r="E419" s="94" t="str">
        <f>weights_editor!B5</f>
        <v>Writing Code</v>
      </c>
      <c r="F419" s="94" t="str">
        <f>weights_editor!C5</f>
        <v>Quality</v>
      </c>
      <c r="G419" s="88">
        <f>weights_editor!S5</f>
        <v>4</v>
      </c>
      <c r="H419" s="89">
        <f>weights_editor!T5</f>
        <v>0.4</v>
      </c>
      <c r="I419" s="91" t="s">
        <v>473</v>
      </c>
    </row>
    <row r="420" ht="22.5" customHeight="1">
      <c r="A420" s="80" t="str">
        <f t="shared" si="6"/>
        <v>Principal DeveloperENGINEERING CRAFTWriting CodeDocumentation</v>
      </c>
      <c r="B420" s="81">
        <v>3.0</v>
      </c>
      <c r="C420" s="82" t="s">
        <v>77</v>
      </c>
      <c r="D420" s="87" t="str">
        <f>weights_editor!A6</f>
        <v>ENGINEERING CRAFT</v>
      </c>
      <c r="E420" s="94" t="str">
        <f>weights_editor!B6</f>
        <v>Writing Code</v>
      </c>
      <c r="F420" s="94" t="str">
        <f>weights_editor!C6</f>
        <v>Documentation</v>
      </c>
      <c r="G420" s="88">
        <f>weights_editor!S6</f>
        <v>4</v>
      </c>
      <c r="H420" s="89">
        <f>weights_editor!T6</f>
        <v>0.2</v>
      </c>
      <c r="I420" s="91" t="s">
        <v>474</v>
      </c>
    </row>
    <row r="421" ht="22.5" customHeight="1">
      <c r="A421" s="80" t="str">
        <f t="shared" si="6"/>
        <v>Principal DeveloperENGINEERING CRAFTWriting CodeLanguage</v>
      </c>
      <c r="B421" s="81">
        <v>4.0</v>
      </c>
      <c r="C421" s="82" t="s">
        <v>77</v>
      </c>
      <c r="D421" s="87" t="str">
        <f>weights_editor!A7</f>
        <v>ENGINEERING CRAFT</v>
      </c>
      <c r="E421" s="94" t="str">
        <f>weights_editor!B7</f>
        <v>Writing Code</v>
      </c>
      <c r="F421" s="94" t="str">
        <f>weights_editor!C7</f>
        <v>Language</v>
      </c>
      <c r="G421" s="88">
        <f>weights_editor!S7</f>
        <v>4</v>
      </c>
      <c r="H421" s="89">
        <f>weights_editor!T7</f>
        <v>0.3</v>
      </c>
      <c r="I421" s="91" t="s">
        <v>475</v>
      </c>
    </row>
    <row r="422" ht="22.5" customHeight="1">
      <c r="A422" s="80" t="str">
        <f t="shared" si="6"/>
        <v>Principal DeveloperENGINEERING CRAFTWriting CodeMentoring</v>
      </c>
      <c r="B422" s="81">
        <v>5.0</v>
      </c>
      <c r="C422" s="82" t="s">
        <v>77</v>
      </c>
      <c r="D422" s="87" t="str">
        <f>weights_editor!A8</f>
        <v>ENGINEERING CRAFT</v>
      </c>
      <c r="E422" s="94" t="str">
        <f>weights_editor!B8</f>
        <v>Writing Code</v>
      </c>
      <c r="F422" s="94" t="str">
        <f>weights_editor!C8</f>
        <v>Mentoring</v>
      </c>
      <c r="G422" s="88">
        <f>weights_editor!S8</f>
        <v>4</v>
      </c>
      <c r="H422" s="89">
        <f>weights_editor!T8</f>
        <v>0.1</v>
      </c>
      <c r="I422" s="91" t="s">
        <v>476</v>
      </c>
    </row>
    <row r="423" ht="22.5" customHeight="1">
      <c r="A423" s="80" t="str">
        <f t="shared" si="6"/>
        <v>Principal DeveloperENGINEERING CRAFTTesting</v>
      </c>
      <c r="B423" s="81">
        <v>6.0</v>
      </c>
      <c r="C423" s="82" t="s">
        <v>77</v>
      </c>
      <c r="D423" s="87" t="str">
        <f>weights_editor!A9</f>
        <v>ENGINEERING CRAFT</v>
      </c>
      <c r="E423" s="94" t="str">
        <f>weights_editor!B9</f>
        <v>Testing</v>
      </c>
      <c r="F423" s="94" t="str">
        <f>weights_editor!C9</f>
        <v/>
      </c>
      <c r="G423" s="88">
        <f>weights_editor!S9</f>
        <v>4</v>
      </c>
      <c r="H423" s="89">
        <f>weights_editor!T9</f>
        <v>0.15</v>
      </c>
      <c r="I423" s="90" t="s">
        <v>477</v>
      </c>
    </row>
    <row r="424" ht="22.5" customHeight="1">
      <c r="A424" s="80" t="str">
        <f t="shared" si="6"/>
        <v>Principal DeveloperENGINEERING CRAFTTestingTesting your code</v>
      </c>
      <c r="B424" s="81">
        <v>7.0</v>
      </c>
      <c r="C424" s="82" t="s">
        <v>77</v>
      </c>
      <c r="D424" s="87" t="str">
        <f>weights_editor!A10</f>
        <v>ENGINEERING CRAFT</v>
      </c>
      <c r="E424" s="94" t="str">
        <f>weights_editor!B10</f>
        <v>Testing</v>
      </c>
      <c r="F424" s="94" t="str">
        <f>weights_editor!C10</f>
        <v>Testing your code</v>
      </c>
      <c r="G424" s="88" t="str">
        <f>weights_editor!S10</f>
        <v/>
      </c>
      <c r="H424" s="89">
        <f>weights_editor!T10</f>
        <v>0</v>
      </c>
      <c r="I424" s="91" t="s">
        <v>167</v>
      </c>
    </row>
    <row r="425" ht="22.5" customHeight="1">
      <c r="A425" s="80" t="str">
        <f t="shared" si="6"/>
        <v>Principal DeveloperENGINEERING CRAFTTestingImproving coverage</v>
      </c>
      <c r="B425" s="81">
        <v>8.0</v>
      </c>
      <c r="C425" s="82" t="s">
        <v>77</v>
      </c>
      <c r="D425" s="87" t="str">
        <f>weights_editor!A11</f>
        <v>ENGINEERING CRAFT</v>
      </c>
      <c r="E425" s="94" t="str">
        <f>weights_editor!B11</f>
        <v>Testing</v>
      </c>
      <c r="F425" s="94" t="str">
        <f>weights_editor!C11</f>
        <v>Improving coverage</v>
      </c>
      <c r="G425" s="88" t="str">
        <f>weights_editor!S11</f>
        <v/>
      </c>
      <c r="H425" s="89">
        <f>weights_editor!T11</f>
        <v>0</v>
      </c>
      <c r="I425" s="91" t="s">
        <v>167</v>
      </c>
    </row>
    <row r="426" ht="22.5" customHeight="1">
      <c r="A426" s="80" t="str">
        <f t="shared" si="6"/>
        <v>Principal DeveloperENGINEERING CRAFTTestingTaking responsibility</v>
      </c>
      <c r="B426" s="81">
        <v>9.0</v>
      </c>
      <c r="C426" s="82" t="s">
        <v>77</v>
      </c>
      <c r="D426" s="87" t="str">
        <f>weights_editor!A12</f>
        <v>ENGINEERING CRAFT</v>
      </c>
      <c r="E426" s="94" t="str">
        <f>weights_editor!B12</f>
        <v>Testing</v>
      </c>
      <c r="F426" s="94" t="str">
        <f>weights_editor!C12</f>
        <v>Taking responsibility</v>
      </c>
      <c r="G426" s="88" t="str">
        <f>weights_editor!S12</f>
        <v/>
      </c>
      <c r="H426" s="89">
        <f>weights_editor!T12</f>
        <v>0</v>
      </c>
      <c r="I426" s="91" t="s">
        <v>167</v>
      </c>
    </row>
    <row r="427" ht="22.5" customHeight="1">
      <c r="A427" s="80" t="str">
        <f t="shared" si="6"/>
        <v>Principal DeveloperENGINEERING CRAFTTestingLeading testing strategy</v>
      </c>
      <c r="B427" s="81">
        <v>10.0</v>
      </c>
      <c r="C427" s="82" t="s">
        <v>77</v>
      </c>
      <c r="D427" s="87" t="str">
        <f>weights_editor!A13</f>
        <v>ENGINEERING CRAFT</v>
      </c>
      <c r="E427" s="94" t="str">
        <f>weights_editor!B13</f>
        <v>Testing</v>
      </c>
      <c r="F427" s="94" t="str">
        <f>weights_editor!C13</f>
        <v>Leading testing strategy</v>
      </c>
      <c r="G427" s="88">
        <f>weights_editor!S13</f>
        <v>4</v>
      </c>
      <c r="H427" s="89">
        <f>weights_editor!T13</f>
        <v>0.5</v>
      </c>
      <c r="I427" s="91" t="s">
        <v>478</v>
      </c>
    </row>
    <row r="428" ht="22.5" customHeight="1">
      <c r="A428" s="80" t="str">
        <f t="shared" si="6"/>
        <v>Principal DeveloperENGINEERING CRAFTTestingAdvocating for testing</v>
      </c>
      <c r="B428" s="81">
        <v>11.0</v>
      </c>
      <c r="C428" s="82" t="s">
        <v>77</v>
      </c>
      <c r="D428" s="87" t="str">
        <f>weights_editor!A14</f>
        <v>ENGINEERING CRAFT</v>
      </c>
      <c r="E428" s="94" t="str">
        <f>weights_editor!B14</f>
        <v>Testing</v>
      </c>
      <c r="F428" s="94" t="str">
        <f>weights_editor!C14</f>
        <v>Advocating for testing</v>
      </c>
      <c r="G428" s="88">
        <f>weights_editor!S14</f>
        <v>4</v>
      </c>
      <c r="H428" s="89">
        <f>weights_editor!T14</f>
        <v>0.5</v>
      </c>
      <c r="I428" s="91" t="s">
        <v>479</v>
      </c>
    </row>
    <row r="429" ht="22.5" customHeight="1">
      <c r="A429" s="80" t="str">
        <f t="shared" si="6"/>
        <v>Principal DeveloperENGINEERING CRAFTTechnical Understanding &amp; Prioritisation</v>
      </c>
      <c r="B429" s="81">
        <v>12.0</v>
      </c>
      <c r="C429" s="82" t="s">
        <v>77</v>
      </c>
      <c r="D429" s="87" t="str">
        <f>weights_editor!A15</f>
        <v>ENGINEERING CRAFT</v>
      </c>
      <c r="E429" s="94" t="str">
        <f>weights_editor!B15</f>
        <v>Technical Understanding &amp; Prioritisation</v>
      </c>
      <c r="F429" s="94" t="str">
        <f>weights_editor!C15</f>
        <v/>
      </c>
      <c r="G429" s="88">
        <f>weights_editor!S15</f>
        <v>4</v>
      </c>
      <c r="H429" s="89">
        <f>weights_editor!T15</f>
        <v>0.15</v>
      </c>
      <c r="I429" s="90" t="s">
        <v>480</v>
      </c>
    </row>
    <row r="430" ht="22.5" customHeight="1">
      <c r="A430" s="80" t="str">
        <f t="shared" si="6"/>
        <v>Principal DeveloperENGINEERING CRAFTTechnical Understanding &amp; PrioritisationUnderstanding code</v>
      </c>
      <c r="B430" s="81">
        <v>13.0</v>
      </c>
      <c r="C430" s="82" t="s">
        <v>77</v>
      </c>
      <c r="D430" s="87" t="str">
        <f>weights_editor!A16</f>
        <v>ENGINEERING CRAFT</v>
      </c>
      <c r="E430" s="94" t="str">
        <f>weights_editor!B16</f>
        <v>Technical Understanding &amp; Prioritisation</v>
      </c>
      <c r="F430" s="94" t="str">
        <f>weights_editor!C16</f>
        <v>Understanding code</v>
      </c>
      <c r="G430" s="88">
        <f>weights_editor!S16</f>
        <v>4</v>
      </c>
      <c r="H430" s="89">
        <f>weights_editor!T16</f>
        <v>0.5</v>
      </c>
      <c r="I430" s="91" t="s">
        <v>481</v>
      </c>
    </row>
    <row r="431" ht="22.5" customHeight="1">
      <c r="A431" s="80" t="str">
        <f t="shared" si="6"/>
        <v>Principal DeveloperENGINEERING CRAFTTechnical Understanding &amp; PrioritisationTechnical collaboration</v>
      </c>
      <c r="B431" s="81">
        <v>14.0</v>
      </c>
      <c r="C431" s="82" t="s">
        <v>77</v>
      </c>
      <c r="D431" s="87" t="str">
        <f>weights_editor!A17</f>
        <v>ENGINEERING CRAFT</v>
      </c>
      <c r="E431" s="94" t="str">
        <f>weights_editor!B17</f>
        <v>Technical Understanding &amp; Prioritisation</v>
      </c>
      <c r="F431" s="94" t="str">
        <f>weights_editor!C17</f>
        <v>Technical collaboration</v>
      </c>
      <c r="G431" s="88">
        <f>weights_editor!S17</f>
        <v>4</v>
      </c>
      <c r="H431" s="89">
        <f>weights_editor!T17</f>
        <v>0.25</v>
      </c>
      <c r="I431" s="91" t="s">
        <v>482</v>
      </c>
    </row>
    <row r="432" ht="22.5" customHeight="1">
      <c r="A432" s="80" t="str">
        <f t="shared" si="6"/>
        <v>Principal DeveloperENGINEERING CRAFTTechnical Understanding &amp; PrioritisationWork breakdown</v>
      </c>
      <c r="B432" s="81">
        <v>15.0</v>
      </c>
      <c r="C432" s="82" t="s">
        <v>77</v>
      </c>
      <c r="D432" s="87" t="str">
        <f>weights_editor!A18</f>
        <v>ENGINEERING CRAFT</v>
      </c>
      <c r="E432" s="94" t="str">
        <f>weights_editor!B18</f>
        <v>Technical Understanding &amp; Prioritisation</v>
      </c>
      <c r="F432" s="94" t="str">
        <f>weights_editor!C18</f>
        <v>Work breakdown</v>
      </c>
      <c r="G432" s="88">
        <f>weights_editor!S18</f>
        <v>4</v>
      </c>
      <c r="H432" s="89">
        <f>weights_editor!T18</f>
        <v>0.15</v>
      </c>
      <c r="I432" s="91" t="s">
        <v>483</v>
      </c>
    </row>
    <row r="433" ht="22.5" customHeight="1">
      <c r="A433" s="80" t="str">
        <f t="shared" si="6"/>
        <v>Principal DeveloperENGINEERING CRAFTTechnical Understanding &amp; PrioritisationTask prioritisation</v>
      </c>
      <c r="B433" s="81">
        <v>16.0</v>
      </c>
      <c r="C433" s="82" t="s">
        <v>77</v>
      </c>
      <c r="D433" s="87" t="str">
        <f>weights_editor!A19</f>
        <v>ENGINEERING CRAFT</v>
      </c>
      <c r="E433" s="94" t="str">
        <f>weights_editor!B19</f>
        <v>Technical Understanding &amp; Prioritisation</v>
      </c>
      <c r="F433" s="94" t="str">
        <f>weights_editor!C19</f>
        <v>Task prioritisation</v>
      </c>
      <c r="G433" s="88">
        <f>weights_editor!S19</f>
        <v>4</v>
      </c>
      <c r="H433" s="89">
        <f>weights_editor!T19</f>
        <v>0.1</v>
      </c>
      <c r="I433" s="91" t="s">
        <v>484</v>
      </c>
    </row>
    <row r="434" ht="22.5" customHeight="1">
      <c r="A434" s="80" t="str">
        <f t="shared" si="6"/>
        <v>Principal DeveloperENGINEERING CRAFTSoftware Architecture</v>
      </c>
      <c r="B434" s="81">
        <v>17.0</v>
      </c>
      <c r="C434" s="82" t="s">
        <v>77</v>
      </c>
      <c r="D434" s="87" t="str">
        <f>weights_editor!A20</f>
        <v>ENGINEERING CRAFT</v>
      </c>
      <c r="E434" s="94" t="str">
        <f>weights_editor!B20</f>
        <v>Software Architecture</v>
      </c>
      <c r="F434" s="94" t="str">
        <f>weights_editor!C20</f>
        <v/>
      </c>
      <c r="G434" s="88">
        <f>weights_editor!S20</f>
        <v>4</v>
      </c>
      <c r="H434" s="89">
        <f>weights_editor!T20</f>
        <v>0.15</v>
      </c>
      <c r="I434" s="90" t="s">
        <v>485</v>
      </c>
    </row>
    <row r="435" ht="22.5" customHeight="1">
      <c r="A435" s="80" t="str">
        <f t="shared" si="6"/>
        <v>Principal DeveloperENGINEERING CRAFTSoftware ArchitectureReaction to feedback</v>
      </c>
      <c r="B435" s="81">
        <v>18.0</v>
      </c>
      <c r="C435" s="82" t="s">
        <v>77</v>
      </c>
      <c r="D435" s="87" t="str">
        <f>weights_editor!A21</f>
        <v>ENGINEERING CRAFT</v>
      </c>
      <c r="E435" s="94" t="str">
        <f>weights_editor!B21</f>
        <v>Software Architecture</v>
      </c>
      <c r="F435" s="94" t="str">
        <f>weights_editor!C21</f>
        <v>Reaction to feedback</v>
      </c>
      <c r="G435" s="88">
        <f>weights_editor!S21</f>
        <v>4</v>
      </c>
      <c r="H435" s="89">
        <f>weights_editor!T21</f>
        <v>0</v>
      </c>
      <c r="I435" s="91" t="s">
        <v>167</v>
      </c>
    </row>
    <row r="436" ht="22.5" customHeight="1">
      <c r="A436" s="80" t="str">
        <f t="shared" si="6"/>
        <v>Principal DeveloperENGINEERING CRAFTSoftware ArchitectureCode</v>
      </c>
      <c r="B436" s="81">
        <v>19.0</v>
      </c>
      <c r="C436" s="82" t="s">
        <v>77</v>
      </c>
      <c r="D436" s="87" t="str">
        <f>weights_editor!A22</f>
        <v>ENGINEERING CRAFT</v>
      </c>
      <c r="E436" s="94" t="str">
        <f>weights_editor!B22</f>
        <v>Software Architecture</v>
      </c>
      <c r="F436" s="94" t="str">
        <f>weights_editor!C22</f>
        <v>Code</v>
      </c>
      <c r="G436" s="88">
        <f>weights_editor!S22</f>
        <v>4</v>
      </c>
      <c r="H436" s="89">
        <f>weights_editor!T22</f>
        <v>0</v>
      </c>
      <c r="I436" s="91" t="s">
        <v>167</v>
      </c>
    </row>
    <row r="437" ht="22.5" customHeight="1">
      <c r="A437" s="80" t="str">
        <f t="shared" si="6"/>
        <v>Principal DeveloperENGINEERING CRAFTSoftware ArchitectureDesign</v>
      </c>
      <c r="B437" s="81">
        <v>20.0</v>
      </c>
      <c r="C437" s="82" t="s">
        <v>77</v>
      </c>
      <c r="D437" s="87" t="str">
        <f>weights_editor!A23</f>
        <v>ENGINEERING CRAFT</v>
      </c>
      <c r="E437" s="94" t="str">
        <f>weights_editor!B23</f>
        <v>Software Architecture</v>
      </c>
      <c r="F437" s="94" t="str">
        <f>weights_editor!C23</f>
        <v>Design</v>
      </c>
      <c r="G437" s="88">
        <f>weights_editor!S23</f>
        <v>4</v>
      </c>
      <c r="H437" s="89">
        <f>weights_editor!T23</f>
        <v>0.4</v>
      </c>
      <c r="I437" s="91" t="s">
        <v>486</v>
      </c>
    </row>
    <row r="438" ht="22.5" customHeight="1">
      <c r="A438" s="80" t="str">
        <f t="shared" si="6"/>
        <v>Principal DeveloperENGINEERING CRAFTSoftware ArchitectureDevelopment</v>
      </c>
      <c r="B438" s="81">
        <v>21.0</v>
      </c>
      <c r="C438" s="82" t="s">
        <v>77</v>
      </c>
      <c r="D438" s="87" t="str">
        <f>weights_editor!A24</f>
        <v>ENGINEERING CRAFT</v>
      </c>
      <c r="E438" s="94" t="str">
        <f>weights_editor!B24</f>
        <v>Software Architecture</v>
      </c>
      <c r="F438" s="94" t="str">
        <f>weights_editor!C24</f>
        <v>Development</v>
      </c>
      <c r="G438" s="88">
        <f>weights_editor!S24</f>
        <v>4</v>
      </c>
      <c r="H438" s="89">
        <f>weights_editor!T24</f>
        <v>0.4</v>
      </c>
      <c r="I438" s="91" t="s">
        <v>487</v>
      </c>
    </row>
    <row r="439" ht="22.5" customHeight="1">
      <c r="A439" s="80" t="str">
        <f t="shared" si="6"/>
        <v>Principal DeveloperENGINEERING CRAFTSoftware ArchitectureTechnical debt</v>
      </c>
      <c r="B439" s="81">
        <v>22.0</v>
      </c>
      <c r="C439" s="82" t="s">
        <v>77</v>
      </c>
      <c r="D439" s="87" t="str">
        <f>weights_editor!A25</f>
        <v>ENGINEERING CRAFT</v>
      </c>
      <c r="E439" s="94" t="str">
        <f>weights_editor!B25</f>
        <v>Software Architecture</v>
      </c>
      <c r="F439" s="94" t="str">
        <f>weights_editor!C25</f>
        <v>Technical debt</v>
      </c>
      <c r="G439" s="88">
        <f>weights_editor!S25</f>
        <v>4</v>
      </c>
      <c r="H439" s="89">
        <f>weights_editor!T25</f>
        <v>0.2</v>
      </c>
      <c r="I439" s="91" t="s">
        <v>488</v>
      </c>
    </row>
    <row r="440" ht="22.5" customHeight="1">
      <c r="A440" s="80" t="str">
        <f t="shared" si="6"/>
        <v>Principal DeveloperENGINEERING CRAFTSecurity</v>
      </c>
      <c r="B440" s="81">
        <v>23.0</v>
      </c>
      <c r="C440" s="82" t="s">
        <v>77</v>
      </c>
      <c r="D440" s="87" t="str">
        <f>weights_editor!A26</f>
        <v>ENGINEERING CRAFT</v>
      </c>
      <c r="E440" s="94" t="str">
        <f>weights_editor!B26</f>
        <v>Security</v>
      </c>
      <c r="F440" s="94" t="str">
        <f>weights_editor!C26</f>
        <v/>
      </c>
      <c r="G440" s="88">
        <f>weights_editor!S26</f>
        <v>4</v>
      </c>
      <c r="H440" s="89">
        <f>weights_editor!T26</f>
        <v>0.1</v>
      </c>
      <c r="I440" s="90" t="s">
        <v>489</v>
      </c>
    </row>
    <row r="441" ht="22.5" customHeight="1">
      <c r="A441" s="80" t="str">
        <f t="shared" si="6"/>
        <v>Principal DeveloperENGINEERING CRAFTSecurityKnowledge</v>
      </c>
      <c r="B441" s="81">
        <v>24.0</v>
      </c>
      <c r="C441" s="82" t="s">
        <v>77</v>
      </c>
      <c r="D441" s="87" t="str">
        <f>weights_editor!A27</f>
        <v>ENGINEERING CRAFT</v>
      </c>
      <c r="E441" s="94" t="str">
        <f>weights_editor!B27</f>
        <v>Security</v>
      </c>
      <c r="F441" s="94" t="str">
        <f>weights_editor!C27</f>
        <v>Knowledge</v>
      </c>
      <c r="G441" s="88">
        <f>weights_editor!S27</f>
        <v>4</v>
      </c>
      <c r="H441" s="89">
        <f>weights_editor!T27</f>
        <v>0.3</v>
      </c>
      <c r="I441" s="91" t="s">
        <v>490</v>
      </c>
    </row>
    <row r="442" ht="22.5" customHeight="1">
      <c r="A442" s="80" t="str">
        <f t="shared" si="6"/>
        <v>Principal DeveloperENGINEERING CRAFTSecurityUser data</v>
      </c>
      <c r="B442" s="81">
        <v>25.0</v>
      </c>
      <c r="C442" s="82" t="s">
        <v>77</v>
      </c>
      <c r="D442" s="87" t="str">
        <f>weights_editor!A28</f>
        <v>ENGINEERING CRAFT</v>
      </c>
      <c r="E442" s="94" t="str">
        <f>weights_editor!B28</f>
        <v>Security</v>
      </c>
      <c r="F442" s="94" t="str">
        <f>weights_editor!C28</f>
        <v>User data</v>
      </c>
      <c r="G442" s="88">
        <f>weights_editor!S28</f>
        <v>4</v>
      </c>
      <c r="H442" s="89">
        <f>weights_editor!T28</f>
        <v>0.2</v>
      </c>
      <c r="I442" s="91" t="s">
        <v>167</v>
      </c>
    </row>
    <row r="443" ht="22.5" customHeight="1">
      <c r="A443" s="80" t="str">
        <f t="shared" si="6"/>
        <v>Principal DeveloperENGINEERING CRAFTSecurityReporting</v>
      </c>
      <c r="B443" s="81">
        <v>26.0</v>
      </c>
      <c r="C443" s="82" t="s">
        <v>77</v>
      </c>
      <c r="D443" s="87" t="str">
        <f>weights_editor!A29</f>
        <v>ENGINEERING CRAFT</v>
      </c>
      <c r="E443" s="94" t="str">
        <f>weights_editor!B29</f>
        <v>Security</v>
      </c>
      <c r="F443" s="94" t="str">
        <f>weights_editor!C29</f>
        <v>Reporting</v>
      </c>
      <c r="G443" s="88">
        <f>weights_editor!S29</f>
        <v>4</v>
      </c>
      <c r="H443" s="89">
        <f>weights_editor!T29</f>
        <v>0.1</v>
      </c>
      <c r="I443" s="91" t="s">
        <v>167</v>
      </c>
    </row>
    <row r="444" ht="22.5" customHeight="1">
      <c r="A444" s="80" t="str">
        <f t="shared" si="6"/>
        <v>Principal DeveloperENGINEERING CRAFTSecurityProactivity</v>
      </c>
      <c r="B444" s="81">
        <v>27.0</v>
      </c>
      <c r="C444" s="82" t="s">
        <v>77</v>
      </c>
      <c r="D444" s="87" t="str">
        <f>weights_editor!A30</f>
        <v>ENGINEERING CRAFT</v>
      </c>
      <c r="E444" s="94" t="str">
        <f>weights_editor!B30</f>
        <v>Security</v>
      </c>
      <c r="F444" s="94" t="str">
        <f>weights_editor!C30</f>
        <v>Proactivity</v>
      </c>
      <c r="G444" s="88">
        <f>weights_editor!S30</f>
        <v>4</v>
      </c>
      <c r="H444" s="89">
        <f>weights_editor!T30</f>
        <v>0.1</v>
      </c>
      <c r="I444" s="91" t="s">
        <v>167</v>
      </c>
    </row>
    <row r="445" ht="22.5" customHeight="1">
      <c r="A445" s="80" t="str">
        <f t="shared" si="6"/>
        <v>Principal DeveloperENGINEERING CRAFTSecurityCollaboration</v>
      </c>
      <c r="B445" s="81">
        <v>28.0</v>
      </c>
      <c r="C445" s="82" t="s">
        <v>77</v>
      </c>
      <c r="D445" s="87" t="str">
        <f>weights_editor!A31</f>
        <v>ENGINEERING CRAFT</v>
      </c>
      <c r="E445" s="94" t="str">
        <f>weights_editor!B31</f>
        <v>Security</v>
      </c>
      <c r="F445" s="94" t="str">
        <f>weights_editor!C31</f>
        <v>Collaboration</v>
      </c>
      <c r="G445" s="88">
        <f>weights_editor!S31</f>
        <v>4</v>
      </c>
      <c r="H445" s="89">
        <f>weights_editor!T31</f>
        <v>0.1</v>
      </c>
      <c r="I445" s="91" t="s">
        <v>167</v>
      </c>
    </row>
    <row r="446" ht="22.5" customHeight="1">
      <c r="A446" s="80" t="str">
        <f t="shared" si="6"/>
        <v>Principal DeveloperENGINEERING CRAFTSecurityStrategy</v>
      </c>
      <c r="B446" s="81">
        <v>29.0</v>
      </c>
      <c r="C446" s="82" t="s">
        <v>77</v>
      </c>
      <c r="D446" s="87" t="str">
        <f>weights_editor!A32</f>
        <v>ENGINEERING CRAFT</v>
      </c>
      <c r="E446" s="94" t="str">
        <f>weights_editor!B32</f>
        <v>Security</v>
      </c>
      <c r="F446" s="94" t="str">
        <f>weights_editor!C32</f>
        <v>Strategy</v>
      </c>
      <c r="G446" s="88">
        <f>weights_editor!S32</f>
        <v>4</v>
      </c>
      <c r="H446" s="89">
        <f>weights_editor!T32</f>
        <v>0.2</v>
      </c>
      <c r="I446" s="91" t="s">
        <v>491</v>
      </c>
    </row>
    <row r="447" ht="22.5" customHeight="1">
      <c r="A447" s="80" t="str">
        <f t="shared" si="6"/>
        <v>Principal DeveloperENGINEERING CRAFTDebugging &amp; Monitoring</v>
      </c>
      <c r="B447" s="81">
        <v>30.0</v>
      </c>
      <c r="C447" s="82" t="s">
        <v>77</v>
      </c>
      <c r="D447" s="87" t="str">
        <f>weights_editor!A33</f>
        <v>ENGINEERING CRAFT</v>
      </c>
      <c r="E447" s="94" t="str">
        <f>weights_editor!B33</f>
        <v>Debugging &amp; Monitoring</v>
      </c>
      <c r="F447" s="94" t="str">
        <f>weights_editor!C33</f>
        <v/>
      </c>
      <c r="G447" s="88">
        <f>weights_editor!S33</f>
        <v>4</v>
      </c>
      <c r="H447" s="89">
        <f>weights_editor!T33</f>
        <v>0.15</v>
      </c>
      <c r="I447" s="90" t="s">
        <v>492</v>
      </c>
    </row>
    <row r="448" ht="22.5" customHeight="1">
      <c r="A448" s="80" t="str">
        <f t="shared" si="6"/>
        <v>Principal DeveloperENGINEERING CRAFTDebugging &amp; MonitoringDebugging</v>
      </c>
      <c r="B448" s="81">
        <v>31.0</v>
      </c>
      <c r="C448" s="82" t="s">
        <v>77</v>
      </c>
      <c r="D448" s="87" t="str">
        <f>weights_editor!A34</f>
        <v>ENGINEERING CRAFT</v>
      </c>
      <c r="E448" s="94" t="str">
        <f>weights_editor!B34</f>
        <v>Debugging &amp; Monitoring</v>
      </c>
      <c r="F448" s="94" t="str">
        <f>weights_editor!C34</f>
        <v>Debugging</v>
      </c>
      <c r="G448" s="88">
        <f>weights_editor!S34</f>
        <v>4</v>
      </c>
      <c r="H448" s="89">
        <f>weights_editor!T34</f>
        <v>0.4</v>
      </c>
      <c r="I448" s="91" t="s">
        <v>493</v>
      </c>
    </row>
    <row r="449" ht="22.5" customHeight="1">
      <c r="A449" s="80" t="str">
        <f t="shared" si="6"/>
        <v>Principal DeveloperENGINEERING CRAFTDebugging &amp; MonitoringTools</v>
      </c>
      <c r="B449" s="81">
        <v>32.0</v>
      </c>
      <c r="C449" s="82" t="s">
        <v>77</v>
      </c>
      <c r="D449" s="87" t="str">
        <f>weights_editor!A35</f>
        <v>ENGINEERING CRAFT</v>
      </c>
      <c r="E449" s="94" t="str">
        <f>weights_editor!B35</f>
        <v>Debugging &amp; Monitoring</v>
      </c>
      <c r="F449" s="94" t="str">
        <f>weights_editor!C35</f>
        <v>Tools</v>
      </c>
      <c r="G449" s="88">
        <f>weights_editor!S35</f>
        <v>4</v>
      </c>
      <c r="H449" s="89">
        <f>weights_editor!T35</f>
        <v>0</v>
      </c>
      <c r="I449" s="91" t="s">
        <v>167</v>
      </c>
    </row>
    <row r="450" ht="22.5" customHeight="1">
      <c r="A450" s="80" t="str">
        <f t="shared" si="6"/>
        <v>Principal DeveloperENGINEERING CRAFTDebugging &amp; MonitoringPhilosophy</v>
      </c>
      <c r="B450" s="81">
        <v>33.0</v>
      </c>
      <c r="C450" s="82" t="s">
        <v>77</v>
      </c>
      <c r="D450" s="87" t="str">
        <f>weights_editor!A36</f>
        <v>ENGINEERING CRAFT</v>
      </c>
      <c r="E450" s="94" t="str">
        <f>weights_editor!B36</f>
        <v>Debugging &amp; Monitoring</v>
      </c>
      <c r="F450" s="94" t="str">
        <f>weights_editor!C36</f>
        <v>Philosophy</v>
      </c>
      <c r="G450" s="88">
        <f>weights_editor!S36</f>
        <v>4</v>
      </c>
      <c r="H450" s="89">
        <f>weights_editor!T36</f>
        <v>0.2</v>
      </c>
      <c r="I450" s="91" t="s">
        <v>494</v>
      </c>
    </row>
    <row r="451" ht="22.5" customHeight="1">
      <c r="A451" s="80" t="str">
        <f t="shared" si="6"/>
        <v>Principal DeveloperENGINEERING CRAFTDebugging &amp; MonitoringData</v>
      </c>
      <c r="B451" s="81">
        <v>34.0</v>
      </c>
      <c r="C451" s="82" t="s">
        <v>77</v>
      </c>
      <c r="D451" s="87" t="str">
        <f>weights_editor!A37</f>
        <v>ENGINEERING CRAFT</v>
      </c>
      <c r="E451" s="94" t="str">
        <f>weights_editor!B37</f>
        <v>Debugging &amp; Monitoring</v>
      </c>
      <c r="F451" s="94" t="str">
        <f>weights_editor!C37</f>
        <v>Data</v>
      </c>
      <c r="G451" s="88">
        <f>weights_editor!S37</f>
        <v>4</v>
      </c>
      <c r="H451" s="89">
        <f>weights_editor!T37</f>
        <v>0.2</v>
      </c>
      <c r="I451" s="91" t="s">
        <v>495</v>
      </c>
    </row>
    <row r="452" ht="22.5" customHeight="1">
      <c r="A452" s="80" t="str">
        <f t="shared" si="6"/>
        <v>Principal DeveloperENGINEERING CRAFTDebugging &amp; MonitoringProfiling</v>
      </c>
      <c r="B452" s="81">
        <v>35.0</v>
      </c>
      <c r="C452" s="82" t="s">
        <v>77</v>
      </c>
      <c r="D452" s="87" t="str">
        <f>weights_editor!A38</f>
        <v>ENGINEERING CRAFT</v>
      </c>
      <c r="E452" s="94" t="str">
        <f>weights_editor!B38</f>
        <v>Debugging &amp; Monitoring</v>
      </c>
      <c r="F452" s="94" t="str">
        <f>weights_editor!C38</f>
        <v>Profiling</v>
      </c>
      <c r="G452" s="88">
        <f>weights_editor!S38</f>
        <v>4</v>
      </c>
      <c r="H452" s="89">
        <f>weights_editor!T38</f>
        <v>0.2</v>
      </c>
      <c r="I452" s="91" t="s">
        <v>167</v>
      </c>
    </row>
    <row r="453" ht="22.5" customHeight="1">
      <c r="A453" s="80" t="str">
        <f t="shared" si="6"/>
        <v>Principal DeveloperENGINEERING CRAFTDebugging &amp; MonitoringMentoring</v>
      </c>
      <c r="B453" s="81">
        <v>36.0</v>
      </c>
      <c r="C453" s="82" t="s">
        <v>77</v>
      </c>
      <c r="D453" s="87" t="str">
        <f>weights_editor!A39</f>
        <v>ENGINEERING CRAFT</v>
      </c>
      <c r="E453" s="94" t="str">
        <f>weights_editor!B39</f>
        <v>Debugging &amp; Monitoring</v>
      </c>
      <c r="F453" s="94" t="str">
        <f>weights_editor!C39</f>
        <v>Mentoring</v>
      </c>
      <c r="G453" s="88">
        <f>weights_editor!S39</f>
        <v>4</v>
      </c>
      <c r="H453" s="89">
        <f>weights_editor!T39</f>
        <v>0</v>
      </c>
      <c r="I453" s="91" t="s">
        <v>496</v>
      </c>
    </row>
    <row r="454" ht="22.5" customHeight="1">
      <c r="A454" s="80" t="str">
        <f t="shared" si="6"/>
        <v>Principal DeveloperSOFT SKILLS</v>
      </c>
      <c r="B454" s="81">
        <v>37.0</v>
      </c>
      <c r="C454" s="82" t="s">
        <v>77</v>
      </c>
      <c r="D454" s="93" t="str">
        <f>weights_editor!A41</f>
        <v>SOFT SKILLS</v>
      </c>
      <c r="E454" s="94" t="str">
        <f>weights_editor!B41</f>
        <v/>
      </c>
      <c r="F454" s="94" t="str">
        <f>weights_editor!C41</f>
        <v/>
      </c>
      <c r="G454" s="84">
        <f>weights_editor!S41</f>
        <v>3.848</v>
      </c>
      <c r="H454" s="85">
        <f>weights_editor!T41</f>
        <v>0.4</v>
      </c>
      <c r="I454" s="92"/>
    </row>
    <row r="455" ht="22.5" customHeight="1">
      <c r="A455" s="80" t="str">
        <f t="shared" si="6"/>
        <v>Principal DeveloperSOFT SKILLSEmpathy &amp; Humility</v>
      </c>
      <c r="B455" s="81">
        <v>38.0</v>
      </c>
      <c r="C455" s="82" t="s">
        <v>77</v>
      </c>
      <c r="D455" s="87" t="str">
        <f>weights_editor!A42</f>
        <v>SOFT SKILLS</v>
      </c>
      <c r="E455" s="94" t="str">
        <f>weights_editor!B42</f>
        <v>Empathy &amp; Humility</v>
      </c>
      <c r="F455" s="94" t="str">
        <f>weights_editor!C42</f>
        <v/>
      </c>
      <c r="G455" s="88">
        <f>weights_editor!S42</f>
        <v>4</v>
      </c>
      <c r="H455" s="89">
        <f>weights_editor!T42</f>
        <v>0.4</v>
      </c>
      <c r="I455" s="90" t="s">
        <v>497</v>
      </c>
    </row>
    <row r="456" ht="22.5" customHeight="1">
      <c r="A456" s="80" t="str">
        <f t="shared" si="6"/>
        <v>Principal DeveloperSOFT SKILLSEmpathy &amp; HumilityCredit and blame</v>
      </c>
      <c r="B456" s="81">
        <v>39.0</v>
      </c>
      <c r="C456" s="82" t="s">
        <v>77</v>
      </c>
      <c r="D456" s="87" t="str">
        <f>weights_editor!A43</f>
        <v>SOFT SKILLS</v>
      </c>
      <c r="E456" s="94" t="str">
        <f>weights_editor!B43</f>
        <v>Empathy &amp; Humility</v>
      </c>
      <c r="F456" s="94" t="str">
        <f>weights_editor!C43</f>
        <v>Credit and blame</v>
      </c>
      <c r="G456" s="88">
        <f>weights_editor!S43</f>
        <v>4</v>
      </c>
      <c r="H456" s="89">
        <f>weights_editor!T43</f>
        <v>0.3</v>
      </c>
      <c r="I456" s="91" t="s">
        <v>498</v>
      </c>
    </row>
    <row r="457" ht="22.5" customHeight="1">
      <c r="A457" s="80" t="str">
        <f t="shared" si="6"/>
        <v>Principal DeveloperSOFT SKILLSEmpathy &amp; HumilityUnderstanding others</v>
      </c>
      <c r="B457" s="81">
        <v>40.0</v>
      </c>
      <c r="C457" s="82" t="s">
        <v>77</v>
      </c>
      <c r="D457" s="87" t="str">
        <f>weights_editor!A44</f>
        <v>SOFT SKILLS</v>
      </c>
      <c r="E457" s="94" t="str">
        <f>weights_editor!B44</f>
        <v>Empathy &amp; Humility</v>
      </c>
      <c r="F457" s="94" t="str">
        <f>weights_editor!C44</f>
        <v>Understanding others</v>
      </c>
      <c r="G457" s="88">
        <f>weights_editor!S44</f>
        <v>4</v>
      </c>
      <c r="H457" s="89">
        <f>weights_editor!T44</f>
        <v>0.3</v>
      </c>
      <c r="I457" s="91" t="s">
        <v>499</v>
      </c>
    </row>
    <row r="458" ht="22.5" customHeight="1">
      <c r="A458" s="80" t="str">
        <f t="shared" si="6"/>
        <v>Principal DeveloperSOFT SKILLSEmpathy &amp; HumilityMediation and facilitation</v>
      </c>
      <c r="B458" s="81">
        <v>41.0</v>
      </c>
      <c r="C458" s="82" t="s">
        <v>77</v>
      </c>
      <c r="D458" s="87" t="str">
        <f>weights_editor!A45</f>
        <v>SOFT SKILLS</v>
      </c>
      <c r="E458" s="94" t="str">
        <f>weights_editor!B45</f>
        <v>Empathy &amp; Humility</v>
      </c>
      <c r="F458" s="94" t="str">
        <f>weights_editor!C45</f>
        <v>Mediation and facilitation</v>
      </c>
      <c r="G458" s="88">
        <f>weights_editor!S45</f>
        <v>4</v>
      </c>
      <c r="H458" s="89">
        <f>weights_editor!T45</f>
        <v>0.2</v>
      </c>
      <c r="I458" s="91" t="s">
        <v>500</v>
      </c>
    </row>
    <row r="459" ht="22.5" customHeight="1">
      <c r="A459" s="80" t="str">
        <f t="shared" si="6"/>
        <v>Principal DeveloperSOFT SKILLSEmpathy &amp; HumilityMentoring</v>
      </c>
      <c r="B459" s="81">
        <v>42.0</v>
      </c>
      <c r="C459" s="82" t="s">
        <v>77</v>
      </c>
      <c r="D459" s="87" t="str">
        <f>weights_editor!A46</f>
        <v>SOFT SKILLS</v>
      </c>
      <c r="E459" s="94" t="str">
        <f>weights_editor!B46</f>
        <v>Empathy &amp; Humility</v>
      </c>
      <c r="F459" s="94" t="str">
        <f>weights_editor!C46</f>
        <v>Mentoring</v>
      </c>
      <c r="G459" s="88">
        <f>weights_editor!S46</f>
        <v>4</v>
      </c>
      <c r="H459" s="89">
        <f>weights_editor!T46</f>
        <v>0.2</v>
      </c>
      <c r="I459" s="91" t="s">
        <v>501</v>
      </c>
    </row>
    <row r="460" ht="22.5" customHeight="1">
      <c r="A460" s="80" t="str">
        <f t="shared" si="6"/>
        <v>Principal DeveloperSOFT SKILLSCommunication</v>
      </c>
      <c r="B460" s="81">
        <v>43.0</v>
      </c>
      <c r="C460" s="82" t="s">
        <v>77</v>
      </c>
      <c r="D460" s="87" t="str">
        <f>weights_editor!A47</f>
        <v>SOFT SKILLS</v>
      </c>
      <c r="E460" s="94" t="str">
        <f>weights_editor!B47</f>
        <v>Communication</v>
      </c>
      <c r="F460" s="94" t="str">
        <f>weights_editor!C47</f>
        <v/>
      </c>
      <c r="G460" s="88">
        <f>weights_editor!S47</f>
        <v>3.44</v>
      </c>
      <c r="H460" s="89">
        <f>weights_editor!T47</f>
        <v>0.2</v>
      </c>
      <c r="I460" s="90" t="s">
        <v>502</v>
      </c>
    </row>
    <row r="461" ht="22.5" customHeight="1">
      <c r="A461" s="80" t="str">
        <f t="shared" si="6"/>
        <v>Principal DeveloperSOFT SKILLSCommunicationKeeping people informed</v>
      </c>
      <c r="B461" s="81">
        <v>44.0</v>
      </c>
      <c r="C461" s="82" t="s">
        <v>77</v>
      </c>
      <c r="D461" s="87" t="str">
        <f>weights_editor!A48</f>
        <v>SOFT SKILLS</v>
      </c>
      <c r="E461" s="94" t="str">
        <f>weights_editor!B48</f>
        <v>Communication</v>
      </c>
      <c r="F461" s="94" t="str">
        <f>weights_editor!C48</f>
        <v>Keeping people informed</v>
      </c>
      <c r="G461" s="88">
        <f>weights_editor!S48</f>
        <v>4</v>
      </c>
      <c r="H461" s="89">
        <f>weights_editor!T48</f>
        <v>0.5</v>
      </c>
      <c r="I461" s="91" t="s">
        <v>503</v>
      </c>
    </row>
    <row r="462" ht="22.5" customHeight="1">
      <c r="A462" s="80" t="str">
        <f t="shared" si="6"/>
        <v>Principal DeveloperSOFT SKILLSCommunicationLooking for feedback</v>
      </c>
      <c r="B462" s="81">
        <v>45.0</v>
      </c>
      <c r="C462" s="82" t="s">
        <v>77</v>
      </c>
      <c r="D462" s="87" t="str">
        <f>weights_editor!A49</f>
        <v>SOFT SKILLS</v>
      </c>
      <c r="E462" s="94" t="str">
        <f>weights_editor!B49</f>
        <v>Communication</v>
      </c>
      <c r="F462" s="94" t="str">
        <f>weights_editor!C49</f>
        <v>Looking for feedback</v>
      </c>
      <c r="G462" s="88">
        <f>weights_editor!S49</f>
        <v>4</v>
      </c>
      <c r="H462" s="89">
        <f>weights_editor!T49</f>
        <v>0.2</v>
      </c>
      <c r="I462" s="91" t="s">
        <v>504</v>
      </c>
    </row>
    <row r="463" ht="22.5" customHeight="1">
      <c r="A463" s="80" t="str">
        <f t="shared" si="6"/>
        <v>Principal DeveloperSOFT SKILLSCommunicationDelivering bad news</v>
      </c>
      <c r="B463" s="81">
        <v>46.0</v>
      </c>
      <c r="C463" s="82" t="s">
        <v>77</v>
      </c>
      <c r="D463" s="87" t="str">
        <f>weights_editor!A50</f>
        <v>SOFT SKILLS</v>
      </c>
      <c r="E463" s="94" t="str">
        <f>weights_editor!B50</f>
        <v>Communication</v>
      </c>
      <c r="F463" s="94" t="str">
        <f>weights_editor!C50</f>
        <v>Delivering bad news</v>
      </c>
      <c r="G463" s="88">
        <f>weights_editor!S50</f>
        <v>3.2</v>
      </c>
      <c r="H463" s="89">
        <f>weights_editor!T50</f>
        <v>0.1</v>
      </c>
      <c r="I463" s="91" t="s">
        <v>505</v>
      </c>
    </row>
    <row r="464" ht="22.5" customHeight="1">
      <c r="A464" s="80" t="str">
        <f t="shared" si="6"/>
        <v>Principal DeveloperSOFT SKILLSCommunicationMentoring communicators</v>
      </c>
      <c r="B464" s="81">
        <v>47.0</v>
      </c>
      <c r="C464" s="82" t="s">
        <v>77</v>
      </c>
      <c r="D464" s="87" t="str">
        <f>weights_editor!A51</f>
        <v>SOFT SKILLS</v>
      </c>
      <c r="E464" s="94" t="str">
        <f>weights_editor!B51</f>
        <v>Communication</v>
      </c>
      <c r="F464" s="94" t="str">
        <f>weights_editor!C51</f>
        <v>Mentoring communicators</v>
      </c>
      <c r="G464" s="88">
        <f>weights_editor!S51</f>
        <v>3.2</v>
      </c>
      <c r="H464" s="89">
        <f>weights_editor!T51</f>
        <v>0.1</v>
      </c>
      <c r="I464" s="91" t="s">
        <v>506</v>
      </c>
    </row>
    <row r="465" ht="22.5" customHeight="1">
      <c r="A465" s="80" t="str">
        <f t="shared" si="6"/>
        <v>Principal DeveloperSOFT SKILLSInitiative</v>
      </c>
      <c r="B465" s="81">
        <v>48.0</v>
      </c>
      <c r="C465" s="82" t="s">
        <v>77</v>
      </c>
      <c r="D465" s="87" t="str">
        <f>weights_editor!A52</f>
        <v>SOFT SKILLS</v>
      </c>
      <c r="E465" s="94" t="str">
        <f>weights_editor!B52</f>
        <v>Initiative</v>
      </c>
      <c r="F465" s="94" t="str">
        <f>weights_editor!C52</f>
        <v/>
      </c>
      <c r="G465" s="88">
        <f>weights_editor!S52</f>
        <v>3.9</v>
      </c>
      <c r="H465" s="89">
        <f>weights_editor!T52</f>
        <v>0.2</v>
      </c>
      <c r="I465" s="90" t="s">
        <v>507</v>
      </c>
    </row>
    <row r="466" ht="22.5" customHeight="1">
      <c r="A466" s="80" t="str">
        <f t="shared" si="6"/>
        <v>Principal DeveloperSOFT SKILLSInitiativeCan-do attitude</v>
      </c>
      <c r="B466" s="81">
        <v>49.0</v>
      </c>
      <c r="C466" s="82" t="s">
        <v>77</v>
      </c>
      <c r="D466" s="87" t="str">
        <f>weights_editor!A53</f>
        <v>SOFT SKILLS</v>
      </c>
      <c r="E466" s="94" t="str">
        <f>weights_editor!B53</f>
        <v>Initiative</v>
      </c>
      <c r="F466" s="94" t="str">
        <f>weights_editor!C53</f>
        <v>Can-do attitude</v>
      </c>
      <c r="G466" s="88">
        <f>weights_editor!S53</f>
        <v>4</v>
      </c>
      <c r="H466" s="89">
        <f>weights_editor!T53</f>
        <v>0.5</v>
      </c>
      <c r="I466" s="91" t="s">
        <v>508</v>
      </c>
    </row>
    <row r="467" ht="22.5" customHeight="1">
      <c r="A467" s="80" t="str">
        <f t="shared" si="6"/>
        <v>Principal DeveloperSOFT SKILLSInitiativePro-activity in seeking help</v>
      </c>
      <c r="B467" s="81">
        <v>50.0</v>
      </c>
      <c r="C467" s="82" t="s">
        <v>77</v>
      </c>
      <c r="D467" s="87" t="str">
        <f>weights_editor!A54</f>
        <v>SOFT SKILLS</v>
      </c>
      <c r="E467" s="94" t="str">
        <f>weights_editor!B54</f>
        <v>Initiative</v>
      </c>
      <c r="F467" s="94" t="str">
        <f>weights_editor!C54</f>
        <v>Pro-activity in seeking help</v>
      </c>
      <c r="G467" s="88">
        <f>weights_editor!S54</f>
        <v>3.6</v>
      </c>
      <c r="H467" s="89">
        <f>weights_editor!T54</f>
        <v>0.25</v>
      </c>
      <c r="I467" s="91" t="s">
        <v>509</v>
      </c>
    </row>
    <row r="468" ht="22.5" customHeight="1">
      <c r="A468" s="80" t="str">
        <f t="shared" si="6"/>
        <v>Principal DeveloperSOFT SKILLSInitiativeFollow through</v>
      </c>
      <c r="B468" s="81">
        <v>51.0</v>
      </c>
      <c r="C468" s="82" t="s">
        <v>77</v>
      </c>
      <c r="D468" s="87" t="str">
        <f>weights_editor!A55</f>
        <v>SOFT SKILLS</v>
      </c>
      <c r="E468" s="94" t="str">
        <f>weights_editor!B55</f>
        <v>Initiative</v>
      </c>
      <c r="F468" s="94" t="str">
        <f>weights_editor!C55</f>
        <v>Follow through</v>
      </c>
      <c r="G468" s="88">
        <f>weights_editor!S55</f>
        <v>4</v>
      </c>
      <c r="H468" s="89">
        <f>weights_editor!T55</f>
        <v>0.25</v>
      </c>
      <c r="I468" s="91" t="s">
        <v>510</v>
      </c>
    </row>
    <row r="469" ht="22.5" customHeight="1">
      <c r="A469" s="80" t="str">
        <f t="shared" si="6"/>
        <v>Principal DeveloperSOFT SKILLSObjectivity &amp; Adaptability</v>
      </c>
      <c r="B469" s="81">
        <v>52.0</v>
      </c>
      <c r="C469" s="82" t="s">
        <v>77</v>
      </c>
      <c r="D469" s="87" t="str">
        <f>weights_editor!A56</f>
        <v>SOFT SKILLS</v>
      </c>
      <c r="E469" s="94" t="str">
        <f>weights_editor!B56</f>
        <v>Objectivity &amp; Adaptability</v>
      </c>
      <c r="F469" s="94" t="str">
        <f>weights_editor!C56</f>
        <v/>
      </c>
      <c r="G469" s="88">
        <f>weights_editor!S56</f>
        <v>4</v>
      </c>
      <c r="H469" s="89">
        <f>weights_editor!T56</f>
        <v>0.1</v>
      </c>
      <c r="I469" s="90" t="s">
        <v>511</v>
      </c>
    </row>
    <row r="470" ht="22.5" customHeight="1">
      <c r="A470" s="80" t="str">
        <f t="shared" si="6"/>
        <v>Principal DeveloperSOFT SKILLSObjectivity &amp; AdaptabilityEfficient decision-making</v>
      </c>
      <c r="B470" s="81">
        <v>53.0</v>
      </c>
      <c r="C470" s="82" t="s">
        <v>77</v>
      </c>
      <c r="D470" s="87" t="str">
        <f>weights_editor!A57</f>
        <v>SOFT SKILLS</v>
      </c>
      <c r="E470" s="94" t="str">
        <f>weights_editor!B57</f>
        <v>Objectivity &amp; Adaptability</v>
      </c>
      <c r="F470" s="94" t="str">
        <f>weights_editor!C57</f>
        <v>Efficient decision-making</v>
      </c>
      <c r="G470" s="88">
        <f>weights_editor!S57</f>
        <v>4</v>
      </c>
      <c r="H470" s="89">
        <f>weights_editor!T57</f>
        <v>0.5</v>
      </c>
      <c r="I470" s="91" t="s">
        <v>512</v>
      </c>
    </row>
    <row r="471" ht="22.5" customHeight="1">
      <c r="A471" s="80" t="str">
        <f t="shared" si="6"/>
        <v>Principal DeveloperSOFT SKILLSObjectivity &amp; AdaptabilitySelf improvement</v>
      </c>
      <c r="B471" s="81">
        <v>54.0</v>
      </c>
      <c r="C471" s="82" t="s">
        <v>77</v>
      </c>
      <c r="D471" s="87" t="str">
        <f>weights_editor!A58</f>
        <v>SOFT SKILLS</v>
      </c>
      <c r="E471" s="94" t="str">
        <f>weights_editor!B58</f>
        <v>Objectivity &amp; Adaptability</v>
      </c>
      <c r="F471" s="94" t="str">
        <f>weights_editor!C58</f>
        <v>Self improvement</v>
      </c>
      <c r="G471" s="88">
        <f>weights_editor!S58</f>
        <v>4</v>
      </c>
      <c r="H471" s="89">
        <f>weights_editor!T58</f>
        <v>0.2</v>
      </c>
      <c r="I471" s="91" t="s">
        <v>513</v>
      </c>
    </row>
    <row r="472" ht="22.5" customHeight="1">
      <c r="A472" s="80" t="str">
        <f t="shared" si="6"/>
        <v>Principal DeveloperSOFT SKILLSObjectivity &amp; AdaptabilityObjectivity</v>
      </c>
      <c r="B472" s="81">
        <v>55.0</v>
      </c>
      <c r="C472" s="82" t="s">
        <v>77</v>
      </c>
      <c r="D472" s="87" t="str">
        <f>weights_editor!A59</f>
        <v>SOFT SKILLS</v>
      </c>
      <c r="E472" s="94" t="str">
        <f>weights_editor!B59</f>
        <v>Objectivity &amp; Adaptability</v>
      </c>
      <c r="F472" s="94" t="str">
        <f>weights_editor!C59</f>
        <v>Objectivity</v>
      </c>
      <c r="G472" s="88">
        <f>weights_editor!S59</f>
        <v>4</v>
      </c>
      <c r="H472" s="89">
        <f>weights_editor!T59</f>
        <v>0.2</v>
      </c>
      <c r="I472" s="91" t="s">
        <v>514</v>
      </c>
    </row>
    <row r="473" ht="22.5" customHeight="1">
      <c r="A473" s="80" t="str">
        <f t="shared" si="6"/>
        <v>Principal DeveloperSOFT SKILLSObjectivity &amp; AdaptabilityTime management</v>
      </c>
      <c r="B473" s="81">
        <v>56.0</v>
      </c>
      <c r="C473" s="82" t="s">
        <v>77</v>
      </c>
      <c r="D473" s="87" t="str">
        <f>weights_editor!A60</f>
        <v>SOFT SKILLS</v>
      </c>
      <c r="E473" s="94" t="str">
        <f>weights_editor!B60</f>
        <v>Objectivity &amp; Adaptability</v>
      </c>
      <c r="F473" s="94" t="str">
        <f>weights_editor!C60</f>
        <v>Time management</v>
      </c>
      <c r="G473" s="88">
        <f>weights_editor!S60</f>
        <v>4</v>
      </c>
      <c r="H473" s="89">
        <f>weights_editor!T60</f>
        <v>0.1</v>
      </c>
      <c r="I473" s="91" t="s">
        <v>515</v>
      </c>
    </row>
    <row r="474" ht="22.5" customHeight="1">
      <c r="A474" s="80" t="str">
        <f t="shared" si="6"/>
        <v>Principal DeveloperSOFT SKILLSBusiness Acumen</v>
      </c>
      <c r="B474" s="81">
        <v>57.0</v>
      </c>
      <c r="C474" s="82" t="s">
        <v>77</v>
      </c>
      <c r="D474" s="87" t="str">
        <f>weights_editor!A61</f>
        <v>SOFT SKILLS</v>
      </c>
      <c r="E474" s="94" t="str">
        <f>weights_editor!B61</f>
        <v>Business Acumen</v>
      </c>
      <c r="F474" s="94" t="str">
        <f>weights_editor!C61</f>
        <v/>
      </c>
      <c r="G474" s="88">
        <f>weights_editor!S61</f>
        <v>3.8</v>
      </c>
      <c r="H474" s="89">
        <f>weights_editor!T61</f>
        <v>0.1</v>
      </c>
      <c r="I474" s="90"/>
    </row>
    <row r="475" ht="22.5" customHeight="1">
      <c r="A475" s="80" t="str">
        <f t="shared" si="6"/>
        <v>Principal DeveloperSOFT SKILLSBusiness AcumenUnderstanding level</v>
      </c>
      <c r="B475" s="81">
        <v>58.0</v>
      </c>
      <c r="C475" s="82" t="s">
        <v>77</v>
      </c>
      <c r="D475" s="87" t="str">
        <f>weights_editor!A62</f>
        <v>SOFT SKILLS</v>
      </c>
      <c r="E475" s="94" t="str">
        <f>weights_editor!B62</f>
        <v>Business Acumen</v>
      </c>
      <c r="F475" s="94" t="str">
        <f>weights_editor!C62</f>
        <v>Understanding level</v>
      </c>
      <c r="G475" s="88">
        <f>weights_editor!S62</f>
        <v>3.8</v>
      </c>
      <c r="H475" s="89">
        <f>weights_editor!T62</f>
        <v>1</v>
      </c>
      <c r="I475" s="91" t="s">
        <v>516</v>
      </c>
    </row>
    <row r="476" ht="22.5" customHeight="1">
      <c r="A476" s="80" t="str">
        <f t="shared" si="6"/>
        <v>Principal DeveloperLEADERSHIP</v>
      </c>
      <c r="B476" s="81">
        <v>59.0</v>
      </c>
      <c r="C476" s="82" t="s">
        <v>77</v>
      </c>
      <c r="D476" s="96" t="str">
        <f>weights_editor!A64</f>
        <v>LEADERSHIP</v>
      </c>
      <c r="E476" s="97" t="str">
        <f>weights_editor!B64</f>
        <v/>
      </c>
      <c r="F476" s="97" t="str">
        <f>weights_editor!C64</f>
        <v/>
      </c>
      <c r="G476" s="84">
        <f>weights_editor!S64</f>
        <v>3.5</v>
      </c>
      <c r="H476" s="85">
        <f>weights_editor!T64</f>
        <v>0.2</v>
      </c>
      <c r="I476" s="92"/>
    </row>
    <row r="477" ht="22.5" customHeight="1">
      <c r="A477" s="80" t="str">
        <f t="shared" si="6"/>
        <v>Principal DeveloperLEADERSHIPHiring and Org Design</v>
      </c>
      <c r="B477" s="81">
        <v>60.0</v>
      </c>
      <c r="C477" s="82" t="s">
        <v>77</v>
      </c>
      <c r="D477" s="83" t="str">
        <f>weights_editor!A65</f>
        <v>LEADERSHIP</v>
      </c>
      <c r="E477" s="98" t="str">
        <f>weights_editor!B65</f>
        <v>Hiring and Org Design</v>
      </c>
      <c r="F477" s="98" t="str">
        <f>weights_editor!C65</f>
        <v/>
      </c>
      <c r="G477" s="88">
        <f>weights_editor!S65</f>
        <v>3.4</v>
      </c>
      <c r="H477" s="89">
        <f>weights_editor!T65</f>
        <v>0.4</v>
      </c>
      <c r="I477" s="90" t="s">
        <v>209</v>
      </c>
    </row>
    <row r="478" ht="22.5" customHeight="1">
      <c r="A478" s="80" t="str">
        <f t="shared" si="6"/>
        <v>Principal DeveloperLEADERSHIPHiring and Org DesignDeploying Teams</v>
      </c>
      <c r="B478" s="81">
        <v>61.0</v>
      </c>
      <c r="C478" s="82" t="s">
        <v>77</v>
      </c>
      <c r="D478" s="83" t="str">
        <f>weights_editor!A66</f>
        <v>LEADERSHIP</v>
      </c>
      <c r="E478" s="98" t="str">
        <f>weights_editor!B66</f>
        <v>Hiring and Org Design</v>
      </c>
      <c r="F478" s="98" t="str">
        <f>weights_editor!C66</f>
        <v>Deploying Teams</v>
      </c>
      <c r="G478" s="88">
        <f>weights_editor!S66</f>
        <v>3.6</v>
      </c>
      <c r="H478" s="89">
        <f>weights_editor!T66</f>
        <v>0.5</v>
      </c>
      <c r="I478" s="91" t="s">
        <v>257</v>
      </c>
    </row>
    <row r="479" ht="22.5" customHeight="1">
      <c r="A479" s="80" t="str">
        <f t="shared" si="6"/>
        <v>Principal DeveloperLEADERSHIPHiring and Org DesignEmployer Brand</v>
      </c>
      <c r="B479" s="81">
        <v>62.0</v>
      </c>
      <c r="C479" s="82" t="s">
        <v>77</v>
      </c>
      <c r="D479" s="83" t="str">
        <f>weights_editor!A67</f>
        <v>LEADERSHIP</v>
      </c>
      <c r="E479" s="98" t="str">
        <f>weights_editor!B67</f>
        <v>Hiring and Org Design</v>
      </c>
      <c r="F479" s="98" t="str">
        <f>weights_editor!C67</f>
        <v>Employer Brand</v>
      </c>
      <c r="G479" s="88">
        <f>weights_editor!S67</f>
        <v>4</v>
      </c>
      <c r="H479" s="89">
        <f>weights_editor!T67</f>
        <v>0.3</v>
      </c>
      <c r="I479" s="91" t="s">
        <v>258</v>
      </c>
    </row>
    <row r="480" ht="22.5" customHeight="1">
      <c r="A480" s="80" t="str">
        <f t="shared" si="6"/>
        <v>Principal DeveloperLEADERSHIPHiring and Org DesignHiring</v>
      </c>
      <c r="B480" s="81">
        <v>63.0</v>
      </c>
      <c r="C480" s="82" t="s">
        <v>77</v>
      </c>
      <c r="D480" s="83" t="str">
        <f>weights_editor!A68</f>
        <v>LEADERSHIP</v>
      </c>
      <c r="E480" s="98" t="str">
        <f>weights_editor!B68</f>
        <v>Hiring and Org Design</v>
      </c>
      <c r="F480" s="98" t="str">
        <f>weights_editor!C68</f>
        <v>Hiring</v>
      </c>
      <c r="G480" s="88">
        <f>weights_editor!S68</f>
        <v>2</v>
      </c>
      <c r="H480" s="89">
        <f>weights_editor!T68</f>
        <v>0.2</v>
      </c>
      <c r="I480" s="91" t="s">
        <v>259</v>
      </c>
    </row>
    <row r="481" ht="22.5" customHeight="1">
      <c r="A481" s="80" t="str">
        <f t="shared" si="6"/>
        <v>Principal DeveloperLEADERSHIPStakeholder Management</v>
      </c>
      <c r="B481" s="81">
        <v>64.0</v>
      </c>
      <c r="C481" s="82" t="s">
        <v>77</v>
      </c>
      <c r="D481" s="83" t="str">
        <f>weights_editor!A69</f>
        <v>LEADERSHIP</v>
      </c>
      <c r="E481" s="98" t="str">
        <f>weights_editor!B69</f>
        <v>Stakeholder Management</v>
      </c>
      <c r="F481" s="98" t="str">
        <f>weights_editor!C69</f>
        <v/>
      </c>
      <c r="G481" s="88">
        <f>weights_editor!S69</f>
        <v>4</v>
      </c>
      <c r="H481" s="89">
        <f>weights_editor!T69</f>
        <v>0.2</v>
      </c>
      <c r="I481" s="90" t="s">
        <v>517</v>
      </c>
    </row>
    <row r="482" ht="22.5" customHeight="1">
      <c r="A482" s="80" t="str">
        <f t="shared" si="6"/>
        <v>Principal DeveloperLEADERSHIPStakeholder ManagementManaging Goals and Expectations</v>
      </c>
      <c r="B482" s="81">
        <v>65.0</v>
      </c>
      <c r="C482" s="82" t="s">
        <v>77</v>
      </c>
      <c r="D482" s="83" t="str">
        <f>weights_editor!A70</f>
        <v>LEADERSHIP</v>
      </c>
      <c r="E482" s="98" t="str">
        <f>weights_editor!B70</f>
        <v>Stakeholder Management</v>
      </c>
      <c r="F482" s="98" t="str">
        <f>weights_editor!C70</f>
        <v>Managing Goals and Expectations</v>
      </c>
      <c r="G482" s="88">
        <f>weights_editor!S70</f>
        <v>4</v>
      </c>
      <c r="H482" s="89">
        <f>weights_editor!T70</f>
        <v>0.5</v>
      </c>
      <c r="I482" s="91" t="s">
        <v>518</v>
      </c>
    </row>
    <row r="483" ht="22.5" customHeight="1">
      <c r="A483" s="80" t="str">
        <f t="shared" si="6"/>
        <v>Principal DeveloperLEADERSHIPStakeholder ManagementForesight</v>
      </c>
      <c r="B483" s="81">
        <v>66.0</v>
      </c>
      <c r="C483" s="82" t="s">
        <v>77</v>
      </c>
      <c r="D483" s="83" t="str">
        <f>weights_editor!A71</f>
        <v>LEADERSHIP</v>
      </c>
      <c r="E483" s="98" t="str">
        <f>weights_editor!B71</f>
        <v>Stakeholder Management</v>
      </c>
      <c r="F483" s="98" t="str">
        <f>weights_editor!C71</f>
        <v>Foresight</v>
      </c>
      <c r="G483" s="88">
        <f>weights_editor!S71</f>
        <v>4</v>
      </c>
      <c r="H483" s="89">
        <f>weights_editor!T71</f>
        <v>0.2</v>
      </c>
      <c r="I483" s="91" t="s">
        <v>519</v>
      </c>
    </row>
    <row r="484" ht="22.5" customHeight="1">
      <c r="A484" s="80" t="str">
        <f t="shared" si="6"/>
        <v>Principal DeveloperLEADERSHIPStakeholder ManagementEngendering Trust</v>
      </c>
      <c r="B484" s="81">
        <v>67.0</v>
      </c>
      <c r="C484" s="82" t="s">
        <v>77</v>
      </c>
      <c r="D484" s="83" t="str">
        <f>weights_editor!A72</f>
        <v>LEADERSHIP</v>
      </c>
      <c r="E484" s="98" t="str">
        <f>weights_editor!B72</f>
        <v>Stakeholder Management</v>
      </c>
      <c r="F484" s="98" t="str">
        <f>weights_editor!C72</f>
        <v>Engendering Trust</v>
      </c>
      <c r="G484" s="88">
        <f>weights_editor!S72</f>
        <v>4</v>
      </c>
      <c r="H484" s="89">
        <f>weights_editor!T72</f>
        <v>0.2</v>
      </c>
      <c r="I484" s="91" t="s">
        <v>520</v>
      </c>
    </row>
    <row r="485" ht="22.5" customHeight="1">
      <c r="A485" s="80" t="str">
        <f t="shared" si="6"/>
        <v>Principal DeveloperLEADERSHIPStakeholder ManagementProtecting the Team</v>
      </c>
      <c r="B485" s="81">
        <v>68.0</v>
      </c>
      <c r="C485" s="82" t="s">
        <v>77</v>
      </c>
      <c r="D485" s="83" t="str">
        <f>weights_editor!A73</f>
        <v>LEADERSHIP</v>
      </c>
      <c r="E485" s="98" t="str">
        <f>weights_editor!B73</f>
        <v>Stakeholder Management</v>
      </c>
      <c r="F485" s="98" t="str">
        <f>weights_editor!C73</f>
        <v>Protecting the Team</v>
      </c>
      <c r="G485" s="88">
        <f>weights_editor!S73</f>
        <v>4</v>
      </c>
      <c r="H485" s="89">
        <f>weights_editor!T73</f>
        <v>0.1</v>
      </c>
      <c r="I485" s="91" t="s">
        <v>521</v>
      </c>
    </row>
    <row r="486" ht="22.5" customHeight="1">
      <c r="A486" s="80" t="str">
        <f t="shared" si="6"/>
        <v>Principal DeveloperLEADERSHIPTeam Leadership</v>
      </c>
      <c r="B486" s="81">
        <v>69.0</v>
      </c>
      <c r="C486" s="82" t="s">
        <v>77</v>
      </c>
      <c r="D486" s="83" t="str">
        <f>weights_editor!A74</f>
        <v>LEADERSHIP</v>
      </c>
      <c r="E486" s="98" t="str">
        <f>weights_editor!B74</f>
        <v>Team Leadership</v>
      </c>
      <c r="F486" s="98" t="str">
        <f>weights_editor!C74</f>
        <v/>
      </c>
      <c r="G486" s="88">
        <f>weights_editor!S74</f>
        <v>3.54</v>
      </c>
      <c r="H486" s="89">
        <f>weights_editor!T74</f>
        <v>0.1</v>
      </c>
      <c r="I486" s="90" t="s">
        <v>522</v>
      </c>
    </row>
    <row r="487" ht="22.5" customHeight="1">
      <c r="A487" s="80" t="str">
        <f t="shared" si="6"/>
        <v>Principal DeveloperLEADERSHIPTeam LeadershipPutting the Team first</v>
      </c>
      <c r="B487" s="81">
        <v>70.0</v>
      </c>
      <c r="C487" s="82" t="s">
        <v>77</v>
      </c>
      <c r="D487" s="83" t="str">
        <f>weights_editor!A75</f>
        <v>LEADERSHIP</v>
      </c>
      <c r="E487" s="98" t="str">
        <f>weights_editor!B75</f>
        <v>Team Leadership</v>
      </c>
      <c r="F487" s="98" t="str">
        <f>weights_editor!C75</f>
        <v>Putting the Team first</v>
      </c>
      <c r="G487" s="88">
        <f>weights_editor!S75</f>
        <v>4</v>
      </c>
      <c r="H487" s="89">
        <f>weights_editor!T75</f>
        <v>0.5</v>
      </c>
      <c r="I487" s="91" t="s">
        <v>523</v>
      </c>
    </row>
    <row r="488" ht="22.5" customHeight="1">
      <c r="A488" s="80" t="str">
        <f t="shared" si="6"/>
        <v>Principal DeveloperLEADERSHIPTeam LeadershipDifficult Conversations</v>
      </c>
      <c r="B488" s="81">
        <v>71.0</v>
      </c>
      <c r="C488" s="82" t="s">
        <v>77</v>
      </c>
      <c r="D488" s="83" t="str">
        <f>weights_editor!A76</f>
        <v>LEADERSHIP</v>
      </c>
      <c r="E488" s="98" t="str">
        <f>weights_editor!B76</f>
        <v>Team Leadership</v>
      </c>
      <c r="F488" s="98" t="str">
        <f>weights_editor!C76</f>
        <v>Difficult Conversations</v>
      </c>
      <c r="G488" s="88">
        <f>weights_editor!S76</f>
        <v>3</v>
      </c>
      <c r="H488" s="89">
        <f>weights_editor!T76</f>
        <v>0.2</v>
      </c>
      <c r="I488" s="91" t="s">
        <v>524</v>
      </c>
    </row>
    <row r="489" ht="22.5" customHeight="1">
      <c r="A489" s="80" t="str">
        <f t="shared" si="6"/>
        <v>Principal DeveloperLEADERSHIPTeam LeadershipReliability</v>
      </c>
      <c r="B489" s="81">
        <v>72.0</v>
      </c>
      <c r="C489" s="82" t="s">
        <v>77</v>
      </c>
      <c r="D489" s="83" t="str">
        <f>weights_editor!A77</f>
        <v>LEADERSHIP</v>
      </c>
      <c r="E489" s="98" t="str">
        <f>weights_editor!B77</f>
        <v>Team Leadership</v>
      </c>
      <c r="F489" s="98" t="str">
        <f>weights_editor!C77</f>
        <v>Reliability</v>
      </c>
      <c r="G489" s="88">
        <f>weights_editor!S77</f>
        <v>3.2</v>
      </c>
      <c r="H489" s="89">
        <f>weights_editor!T77</f>
        <v>0.2</v>
      </c>
      <c r="I489" s="91" t="s">
        <v>525</v>
      </c>
    </row>
    <row r="490" ht="22.5" customHeight="1">
      <c r="A490" s="80" t="str">
        <f t="shared" si="6"/>
        <v>Principal DeveloperLEADERSHIPTeam LeadershipVulnerability</v>
      </c>
      <c r="B490" s="81">
        <v>73.0</v>
      </c>
      <c r="C490" s="82" t="s">
        <v>77</v>
      </c>
      <c r="D490" s="83" t="str">
        <f>weights_editor!A78</f>
        <v>LEADERSHIP</v>
      </c>
      <c r="E490" s="98" t="str">
        <f>weights_editor!B78</f>
        <v>Team Leadership</v>
      </c>
      <c r="F490" s="98" t="str">
        <f>weights_editor!C78</f>
        <v>Vulnerability</v>
      </c>
      <c r="G490" s="88">
        <f>weights_editor!S78</f>
        <v>3</v>
      </c>
      <c r="H490" s="89">
        <f>weights_editor!T78</f>
        <v>0.1</v>
      </c>
      <c r="I490" s="91" t="s">
        <v>526</v>
      </c>
    </row>
    <row r="491" ht="22.5" customHeight="1">
      <c r="A491" s="80" t="str">
        <f t="shared" si="6"/>
        <v>Principal DeveloperLEADERSHIPDeveloping Others</v>
      </c>
      <c r="B491" s="81">
        <v>74.0</v>
      </c>
      <c r="C491" s="82" t="s">
        <v>77</v>
      </c>
      <c r="D491" s="83" t="str">
        <f>weights_editor!A79</f>
        <v>LEADERSHIP</v>
      </c>
      <c r="E491" s="98" t="str">
        <f>weights_editor!B79</f>
        <v>Developing Others</v>
      </c>
      <c r="F491" s="98" t="str">
        <f>weights_editor!C79</f>
        <v/>
      </c>
      <c r="G491" s="88">
        <f>weights_editor!S79</f>
        <v>3.28</v>
      </c>
      <c r="H491" s="89">
        <f>weights_editor!T79</f>
        <v>0.2</v>
      </c>
      <c r="I491" s="90" t="s">
        <v>527</v>
      </c>
    </row>
    <row r="492" ht="22.5" customHeight="1">
      <c r="A492" s="80" t="str">
        <f t="shared" si="6"/>
        <v>Principal DeveloperLEADERSHIPDeveloping OthersIdentifying strengths</v>
      </c>
      <c r="B492" s="81">
        <v>75.0</v>
      </c>
      <c r="C492" s="82" t="s">
        <v>77</v>
      </c>
      <c r="D492" s="83" t="str">
        <f>weights_editor!A80</f>
        <v>LEADERSHIP</v>
      </c>
      <c r="E492" s="98" t="str">
        <f>weights_editor!B80</f>
        <v>Developing Others</v>
      </c>
      <c r="F492" s="98" t="str">
        <f>weights_editor!C80</f>
        <v>Identifying strengths</v>
      </c>
      <c r="G492" s="88">
        <f>weights_editor!S80</f>
        <v>3.6</v>
      </c>
      <c r="H492" s="89">
        <f>weights_editor!T80</f>
        <v>0.3</v>
      </c>
      <c r="I492" s="91" t="s">
        <v>528</v>
      </c>
    </row>
    <row r="493" ht="22.5" customHeight="1">
      <c r="A493" s="80" t="str">
        <f t="shared" si="6"/>
        <v>Principal DeveloperLEADERSHIPDeveloping OthersSupporting team growth</v>
      </c>
      <c r="B493" s="81">
        <v>76.0</v>
      </c>
      <c r="C493" s="82" t="s">
        <v>77</v>
      </c>
      <c r="D493" s="83" t="str">
        <f>weights_editor!A81</f>
        <v>LEADERSHIP</v>
      </c>
      <c r="E493" s="98" t="str">
        <f>weights_editor!B81</f>
        <v>Developing Others</v>
      </c>
      <c r="F493" s="98" t="str">
        <f>weights_editor!C81</f>
        <v>Supporting team growth</v>
      </c>
      <c r="G493" s="88">
        <f>weights_editor!S81</f>
        <v>3.2</v>
      </c>
      <c r="H493" s="89">
        <f>weights_editor!T81</f>
        <v>0.4</v>
      </c>
      <c r="I493" s="91" t="s">
        <v>529</v>
      </c>
    </row>
    <row r="494" ht="22.5" customHeight="1">
      <c r="A494" s="80" t="str">
        <f t="shared" si="6"/>
        <v>Principal DeveloperLEADERSHIPDeveloping OthersInvesting in process</v>
      </c>
      <c r="B494" s="81">
        <v>77.0</v>
      </c>
      <c r="C494" s="82" t="s">
        <v>77</v>
      </c>
      <c r="D494" s="83" t="str">
        <f>weights_editor!A82</f>
        <v>LEADERSHIP</v>
      </c>
      <c r="E494" s="98" t="str">
        <f>weights_editor!B82</f>
        <v>Developing Others</v>
      </c>
      <c r="F494" s="98" t="str">
        <f>weights_editor!C82</f>
        <v>Investing in process</v>
      </c>
      <c r="G494" s="88">
        <f>weights_editor!S82</f>
        <v>3.2</v>
      </c>
      <c r="H494" s="89">
        <f>weights_editor!T82</f>
        <v>0.1</v>
      </c>
      <c r="I494" s="91" t="s">
        <v>530</v>
      </c>
    </row>
    <row r="495" ht="22.5" customHeight="1">
      <c r="A495" s="80" t="str">
        <f t="shared" si="6"/>
        <v>Principal DeveloperLEADERSHIPDeveloping OthersFeedback on work</v>
      </c>
      <c r="B495" s="81">
        <v>78.0</v>
      </c>
      <c r="C495" s="82" t="s">
        <v>77</v>
      </c>
      <c r="D495" s="83" t="str">
        <f>weights_editor!A83</f>
        <v>LEADERSHIP</v>
      </c>
      <c r="E495" s="98" t="str">
        <f>weights_editor!B83</f>
        <v>Developing Others</v>
      </c>
      <c r="F495" s="98" t="str">
        <f>weights_editor!C83</f>
        <v>Feedback on work</v>
      </c>
      <c r="G495" s="88">
        <f>weights_editor!S83</f>
        <v>3</v>
      </c>
      <c r="H495" s="89">
        <f>weights_editor!T83</f>
        <v>0.2</v>
      </c>
      <c r="I495" s="91" t="s">
        <v>531</v>
      </c>
    </row>
    <row r="496" ht="22.5" customHeight="1">
      <c r="A496" s="80" t="str">
        <f t="shared" si="6"/>
        <v>Principal DeveloperLEADERSHIPCulture &amp; Togetherness</v>
      </c>
      <c r="B496" s="81">
        <v>79.0</v>
      </c>
      <c r="C496" s="82" t="s">
        <v>77</v>
      </c>
      <c r="D496" s="83" t="str">
        <f>weights_editor!A84</f>
        <v>LEADERSHIP</v>
      </c>
      <c r="E496" s="98" t="str">
        <f>weights_editor!B84</f>
        <v>Culture &amp; Togetherness</v>
      </c>
      <c r="F496" s="98" t="str">
        <f>weights_editor!C84</f>
        <v/>
      </c>
      <c r="G496" s="88">
        <f>weights_editor!S84</f>
        <v>3.3</v>
      </c>
      <c r="H496" s="89">
        <f>weights_editor!T84</f>
        <v>0.1</v>
      </c>
      <c r="I496" s="90" t="s">
        <v>532</v>
      </c>
    </row>
    <row r="497" ht="22.5" customHeight="1">
      <c r="A497" s="80" t="str">
        <f t="shared" si="6"/>
        <v>Principal DeveloperLEADERSHIPCulture &amp; TogethernessSetting an Example</v>
      </c>
      <c r="B497" s="81">
        <v>80.0</v>
      </c>
      <c r="C497" s="82" t="s">
        <v>77</v>
      </c>
      <c r="D497" s="83" t="str">
        <f>weights_editor!A85</f>
        <v>LEADERSHIP</v>
      </c>
      <c r="E497" s="98" t="str">
        <f>weights_editor!B85</f>
        <v>Culture &amp; Togetherness</v>
      </c>
      <c r="F497" s="98" t="str">
        <f>weights_editor!C85</f>
        <v>Setting an Example</v>
      </c>
      <c r="G497" s="88">
        <f>weights_editor!S85</f>
        <v>4</v>
      </c>
      <c r="H497" s="89">
        <f>weights_editor!T85</f>
        <v>0.3</v>
      </c>
      <c r="I497" s="91" t="s">
        <v>533</v>
      </c>
    </row>
    <row r="498" ht="22.5" customHeight="1">
      <c r="A498" s="80" t="str">
        <f t="shared" si="6"/>
        <v>Principal DeveloperLEADERSHIPCulture &amp; TogethernessEncouraging diverse opinions</v>
      </c>
      <c r="B498" s="81">
        <v>81.0</v>
      </c>
      <c r="C498" s="82" t="s">
        <v>77</v>
      </c>
      <c r="D498" s="83" t="str">
        <f>weights_editor!A86</f>
        <v>LEADERSHIP</v>
      </c>
      <c r="E498" s="98" t="str">
        <f>weights_editor!B86</f>
        <v>Culture &amp; Togetherness</v>
      </c>
      <c r="F498" s="98" t="str">
        <f>weights_editor!C86</f>
        <v>Encouraging diverse opinions</v>
      </c>
      <c r="G498" s="88">
        <f>weights_editor!S86</f>
        <v>3</v>
      </c>
      <c r="H498" s="89">
        <f>weights_editor!T86</f>
        <v>0.4</v>
      </c>
      <c r="I498" s="91" t="s">
        <v>534</v>
      </c>
    </row>
    <row r="499" ht="22.5" customHeight="1">
      <c r="A499" s="80" t="str">
        <f t="shared" si="6"/>
        <v>Principal DeveloperLEADERSHIPCulture &amp; TogethernessDeveloping personal relationships</v>
      </c>
      <c r="B499" s="81">
        <v>82.0</v>
      </c>
      <c r="C499" s="82" t="s">
        <v>77</v>
      </c>
      <c r="D499" s="83" t="str">
        <f>weights_editor!A87</f>
        <v>LEADERSHIP</v>
      </c>
      <c r="E499" s="98" t="str">
        <f>weights_editor!B87</f>
        <v>Culture &amp; Togetherness</v>
      </c>
      <c r="F499" s="98" t="str">
        <f>weights_editor!C87</f>
        <v>Developing personal relationships</v>
      </c>
      <c r="G499" s="88">
        <f>weights_editor!S87</f>
        <v>3</v>
      </c>
      <c r="H499" s="89">
        <f>weights_editor!T87</f>
        <v>0.3</v>
      </c>
      <c r="I499" s="91" t="s">
        <v>535</v>
      </c>
    </row>
    <row r="500">
      <c r="I500" s="99"/>
    </row>
    <row r="501">
      <c r="I501" s="99"/>
    </row>
    <row r="502">
      <c r="I502" s="99"/>
    </row>
    <row r="503">
      <c r="I503" s="99"/>
    </row>
    <row r="504">
      <c r="I504" s="99"/>
    </row>
    <row r="505">
      <c r="I505" s="99"/>
    </row>
    <row r="506">
      <c r="I506" s="99"/>
    </row>
    <row r="507">
      <c r="I507" s="99"/>
    </row>
    <row r="508">
      <c r="I508" s="99"/>
    </row>
    <row r="509">
      <c r="I509" s="99"/>
    </row>
    <row r="510">
      <c r="I510" s="99"/>
    </row>
    <row r="511">
      <c r="I511" s="99"/>
    </row>
    <row r="512">
      <c r="I512" s="99"/>
    </row>
    <row r="513">
      <c r="I513" s="99"/>
    </row>
    <row r="514">
      <c r="I514" s="99"/>
    </row>
    <row r="515">
      <c r="I515" s="99"/>
    </row>
    <row r="516">
      <c r="I516" s="99"/>
    </row>
    <row r="517">
      <c r="I517" s="99"/>
    </row>
    <row r="518">
      <c r="I518" s="99"/>
    </row>
    <row r="519">
      <c r="I519" s="99"/>
    </row>
    <row r="520">
      <c r="I520" s="99"/>
    </row>
    <row r="521">
      <c r="I521" s="99"/>
    </row>
    <row r="522">
      <c r="I522" s="99"/>
    </row>
    <row r="523">
      <c r="I523" s="99"/>
    </row>
    <row r="524">
      <c r="I524" s="99"/>
    </row>
    <row r="525">
      <c r="I525" s="99"/>
    </row>
    <row r="526">
      <c r="I526" s="99"/>
    </row>
    <row r="527">
      <c r="I527" s="99"/>
    </row>
    <row r="528">
      <c r="I528" s="99"/>
    </row>
    <row r="529">
      <c r="I529" s="99"/>
    </row>
    <row r="530">
      <c r="I530" s="99"/>
    </row>
    <row r="531">
      <c r="I531" s="99"/>
    </row>
    <row r="532">
      <c r="I532" s="99"/>
    </row>
    <row r="533">
      <c r="I533" s="99"/>
    </row>
    <row r="534">
      <c r="I534" s="99"/>
    </row>
    <row r="535">
      <c r="I535" s="99"/>
    </row>
    <row r="536">
      <c r="I536" s="99"/>
    </row>
    <row r="537">
      <c r="I537" s="99"/>
    </row>
    <row r="538">
      <c r="I538" s="99"/>
    </row>
    <row r="539">
      <c r="I539" s="99"/>
    </row>
    <row r="540">
      <c r="I540" s="99"/>
    </row>
    <row r="541">
      <c r="I541" s="99"/>
    </row>
    <row r="542">
      <c r="I542" s="99"/>
    </row>
    <row r="543">
      <c r="I543" s="99"/>
    </row>
    <row r="544">
      <c r="I544" s="99"/>
    </row>
    <row r="545">
      <c r="I545" s="99"/>
    </row>
    <row r="546">
      <c r="I546" s="99"/>
    </row>
    <row r="547">
      <c r="I547" s="99"/>
    </row>
    <row r="548">
      <c r="I548" s="99"/>
    </row>
    <row r="549">
      <c r="I549" s="99"/>
    </row>
    <row r="550">
      <c r="I550" s="99"/>
    </row>
    <row r="551">
      <c r="I551" s="99"/>
    </row>
    <row r="552">
      <c r="I552" s="99"/>
    </row>
    <row r="553">
      <c r="I553" s="99"/>
    </row>
    <row r="554">
      <c r="I554" s="99"/>
    </row>
    <row r="555">
      <c r="I555" s="99"/>
    </row>
    <row r="556">
      <c r="I556" s="99"/>
    </row>
    <row r="557">
      <c r="I557" s="99"/>
    </row>
    <row r="558">
      <c r="I558" s="99"/>
    </row>
    <row r="559">
      <c r="I559" s="99"/>
    </row>
    <row r="560">
      <c r="I560" s="99"/>
    </row>
    <row r="561">
      <c r="I561" s="99"/>
    </row>
    <row r="562">
      <c r="I562" s="99"/>
    </row>
    <row r="563">
      <c r="I563" s="99"/>
    </row>
    <row r="564">
      <c r="I564" s="99"/>
    </row>
    <row r="565">
      <c r="I565" s="99"/>
    </row>
    <row r="566">
      <c r="I566" s="99"/>
    </row>
    <row r="567">
      <c r="I567" s="99"/>
    </row>
    <row r="568">
      <c r="I568" s="99"/>
    </row>
    <row r="569">
      <c r="I569" s="99"/>
    </row>
    <row r="570">
      <c r="I570" s="99"/>
    </row>
    <row r="571">
      <c r="I571" s="99"/>
    </row>
    <row r="572">
      <c r="I572" s="99"/>
    </row>
    <row r="573">
      <c r="I573" s="99"/>
    </row>
    <row r="574">
      <c r="I574" s="99"/>
    </row>
    <row r="575">
      <c r="I575" s="99"/>
    </row>
    <row r="576">
      <c r="I576" s="99"/>
    </row>
    <row r="577">
      <c r="I577" s="99"/>
    </row>
    <row r="578">
      <c r="I578" s="99"/>
    </row>
    <row r="579">
      <c r="I579" s="99"/>
    </row>
    <row r="580">
      <c r="I580" s="99"/>
    </row>
    <row r="581">
      <c r="I581" s="99"/>
    </row>
    <row r="582">
      <c r="I582" s="99"/>
    </row>
    <row r="583">
      <c r="I583" s="99"/>
    </row>
    <row r="584">
      <c r="I584" s="99"/>
    </row>
    <row r="585">
      <c r="I585" s="99"/>
    </row>
    <row r="586">
      <c r="I586" s="99"/>
    </row>
    <row r="587">
      <c r="I587" s="99"/>
    </row>
    <row r="588">
      <c r="I588" s="99"/>
    </row>
    <row r="589">
      <c r="I589" s="99"/>
    </row>
    <row r="590">
      <c r="I590" s="99"/>
    </row>
    <row r="591">
      <c r="I591" s="99"/>
    </row>
    <row r="592">
      <c r="I592" s="99"/>
    </row>
    <row r="593">
      <c r="I593" s="99"/>
    </row>
    <row r="594">
      <c r="I594" s="99"/>
    </row>
    <row r="595">
      <c r="I595" s="99"/>
    </row>
    <row r="596">
      <c r="I596" s="99"/>
    </row>
    <row r="597">
      <c r="I597" s="99"/>
    </row>
    <row r="598">
      <c r="I598" s="99"/>
    </row>
    <row r="599">
      <c r="I599" s="99"/>
    </row>
    <row r="600">
      <c r="I600" s="99"/>
    </row>
    <row r="601">
      <c r="I601" s="99"/>
    </row>
    <row r="602">
      <c r="I602" s="99"/>
    </row>
    <row r="603">
      <c r="I603" s="99"/>
    </row>
    <row r="604">
      <c r="I604" s="99"/>
    </row>
    <row r="605">
      <c r="I605" s="99"/>
    </row>
    <row r="606">
      <c r="I606" s="99"/>
    </row>
    <row r="607">
      <c r="I607" s="99"/>
    </row>
    <row r="608">
      <c r="I608" s="99"/>
    </row>
    <row r="609">
      <c r="I609" s="99"/>
    </row>
    <row r="610">
      <c r="I610" s="99"/>
    </row>
    <row r="611">
      <c r="I611" s="99"/>
    </row>
    <row r="612">
      <c r="I612" s="99"/>
    </row>
    <row r="613">
      <c r="I613" s="99"/>
    </row>
    <row r="614">
      <c r="I614" s="99"/>
    </row>
    <row r="615">
      <c r="I615" s="99"/>
    </row>
    <row r="616">
      <c r="I616" s="99"/>
    </row>
    <row r="617">
      <c r="I617" s="99"/>
    </row>
    <row r="618">
      <c r="I618" s="99"/>
    </row>
    <row r="619">
      <c r="I619" s="99"/>
    </row>
    <row r="620">
      <c r="I620" s="99"/>
    </row>
    <row r="621">
      <c r="I621" s="99"/>
    </row>
    <row r="622">
      <c r="I622" s="99"/>
    </row>
    <row r="623">
      <c r="I623" s="99"/>
    </row>
    <row r="624">
      <c r="I624" s="99"/>
    </row>
    <row r="625">
      <c r="I625" s="99"/>
    </row>
    <row r="626">
      <c r="I626" s="99"/>
    </row>
    <row r="627">
      <c r="I627" s="99"/>
    </row>
    <row r="628">
      <c r="I628" s="99"/>
    </row>
    <row r="629">
      <c r="I629" s="99"/>
    </row>
    <row r="630">
      <c r="I630" s="99"/>
    </row>
    <row r="631">
      <c r="I631" s="99"/>
    </row>
    <row r="632">
      <c r="I632" s="99"/>
    </row>
    <row r="633">
      <c r="I633" s="99"/>
    </row>
    <row r="634">
      <c r="I634" s="99"/>
    </row>
    <row r="635">
      <c r="I635" s="99"/>
    </row>
    <row r="636">
      <c r="I636" s="99"/>
    </row>
    <row r="637">
      <c r="I637" s="99"/>
    </row>
    <row r="638">
      <c r="I638" s="99"/>
    </row>
    <row r="639">
      <c r="I639" s="99"/>
    </row>
    <row r="640">
      <c r="I640" s="99"/>
    </row>
    <row r="641">
      <c r="I641" s="99"/>
    </row>
    <row r="642">
      <c r="I642" s="99"/>
    </row>
    <row r="643">
      <c r="I643" s="99"/>
    </row>
    <row r="644">
      <c r="I644" s="99"/>
    </row>
    <row r="645">
      <c r="I645" s="99"/>
    </row>
    <row r="646">
      <c r="I646" s="99"/>
    </row>
    <row r="647">
      <c r="I647" s="99"/>
    </row>
    <row r="648">
      <c r="I648" s="99"/>
    </row>
    <row r="649">
      <c r="I649" s="99"/>
    </row>
    <row r="650">
      <c r="I650" s="99"/>
    </row>
    <row r="651">
      <c r="I651" s="99"/>
    </row>
    <row r="652">
      <c r="I652" s="99"/>
    </row>
    <row r="653">
      <c r="I653" s="99"/>
    </row>
    <row r="654">
      <c r="I654" s="99"/>
    </row>
    <row r="655">
      <c r="I655" s="99"/>
    </row>
    <row r="656">
      <c r="I656" s="99"/>
    </row>
    <row r="657">
      <c r="I657" s="99"/>
    </row>
    <row r="658">
      <c r="I658" s="99"/>
    </row>
    <row r="659">
      <c r="I659" s="99"/>
    </row>
    <row r="660">
      <c r="I660" s="99"/>
    </row>
    <row r="661">
      <c r="I661" s="99"/>
    </row>
    <row r="662">
      <c r="I662" s="99"/>
    </row>
    <row r="663">
      <c r="I663" s="99"/>
    </row>
    <row r="664">
      <c r="I664" s="99"/>
    </row>
    <row r="665">
      <c r="I665" s="99"/>
    </row>
    <row r="666">
      <c r="I666" s="99"/>
    </row>
    <row r="667">
      <c r="I667" s="99"/>
    </row>
    <row r="668">
      <c r="I668" s="99"/>
    </row>
    <row r="669">
      <c r="I669" s="99"/>
    </row>
    <row r="670">
      <c r="I670" s="99"/>
    </row>
    <row r="671">
      <c r="I671" s="99"/>
    </row>
    <row r="672">
      <c r="I672" s="99"/>
    </row>
    <row r="673">
      <c r="I673" s="99"/>
    </row>
    <row r="674">
      <c r="I674" s="99"/>
    </row>
    <row r="675">
      <c r="I675" s="99"/>
    </row>
    <row r="676">
      <c r="I676" s="99"/>
    </row>
    <row r="677">
      <c r="I677" s="99"/>
    </row>
    <row r="678">
      <c r="I678" s="99"/>
    </row>
    <row r="679">
      <c r="I679" s="99"/>
    </row>
    <row r="680">
      <c r="I680" s="99"/>
    </row>
    <row r="681">
      <c r="I681" s="99"/>
    </row>
    <row r="682">
      <c r="I682" s="99"/>
    </row>
    <row r="683">
      <c r="I683" s="99"/>
    </row>
    <row r="684">
      <c r="I684" s="99"/>
    </row>
    <row r="685">
      <c r="I685" s="99"/>
    </row>
    <row r="686">
      <c r="I686" s="99"/>
    </row>
    <row r="687">
      <c r="I687" s="99"/>
    </row>
    <row r="688">
      <c r="I688" s="99"/>
    </row>
    <row r="689">
      <c r="I689" s="99"/>
    </row>
    <row r="690">
      <c r="I690" s="99"/>
    </row>
    <row r="691">
      <c r="I691" s="99"/>
    </row>
    <row r="692">
      <c r="I692" s="99"/>
    </row>
    <row r="693">
      <c r="I693" s="99"/>
    </row>
    <row r="694">
      <c r="I694" s="99"/>
    </row>
    <row r="695">
      <c r="I695" s="99"/>
    </row>
    <row r="696">
      <c r="I696" s="99"/>
    </row>
    <row r="697">
      <c r="I697" s="99"/>
    </row>
    <row r="698">
      <c r="I698" s="99"/>
    </row>
    <row r="699">
      <c r="I699" s="99"/>
    </row>
    <row r="700">
      <c r="I700" s="99"/>
    </row>
    <row r="701">
      <c r="I701" s="99"/>
    </row>
    <row r="702">
      <c r="I702" s="99"/>
    </row>
    <row r="703">
      <c r="I703" s="99"/>
    </row>
    <row r="704">
      <c r="I704" s="99"/>
    </row>
    <row r="705">
      <c r="I705" s="99"/>
    </row>
    <row r="706">
      <c r="I706" s="99"/>
    </row>
    <row r="707">
      <c r="I707" s="99"/>
    </row>
    <row r="708">
      <c r="I708" s="99"/>
    </row>
    <row r="709">
      <c r="I709" s="99"/>
    </row>
    <row r="710">
      <c r="I710" s="99"/>
    </row>
    <row r="711">
      <c r="I711" s="99"/>
    </row>
    <row r="712">
      <c r="I712" s="99"/>
    </row>
    <row r="713">
      <c r="I713" s="99"/>
    </row>
    <row r="714">
      <c r="I714" s="99"/>
    </row>
    <row r="715">
      <c r="I715" s="99"/>
    </row>
    <row r="716">
      <c r="I716" s="99"/>
    </row>
    <row r="717">
      <c r="I717" s="99"/>
    </row>
    <row r="718">
      <c r="I718" s="99"/>
    </row>
    <row r="719">
      <c r="I719" s="99"/>
    </row>
    <row r="720">
      <c r="I720" s="99"/>
    </row>
    <row r="721">
      <c r="I721" s="99"/>
    </row>
    <row r="722">
      <c r="I722" s="99"/>
    </row>
    <row r="723">
      <c r="I723" s="99"/>
    </row>
    <row r="724">
      <c r="I724" s="99"/>
    </row>
    <row r="725">
      <c r="I725" s="99"/>
    </row>
    <row r="726">
      <c r="I726" s="99"/>
    </row>
    <row r="727">
      <c r="I727" s="99"/>
    </row>
    <row r="728">
      <c r="I728" s="99"/>
    </row>
    <row r="729">
      <c r="I729" s="99"/>
    </row>
    <row r="730">
      <c r="I730" s="99"/>
    </row>
    <row r="731">
      <c r="I731" s="99"/>
    </row>
    <row r="732">
      <c r="I732" s="99"/>
    </row>
    <row r="733">
      <c r="I733" s="99"/>
    </row>
    <row r="734">
      <c r="I734" s="99"/>
    </row>
    <row r="735">
      <c r="I735" s="99"/>
    </row>
    <row r="736">
      <c r="I736" s="99"/>
    </row>
    <row r="737">
      <c r="I737" s="99"/>
    </row>
    <row r="738">
      <c r="I738" s="99"/>
    </row>
    <row r="739">
      <c r="I739" s="99"/>
    </row>
    <row r="740">
      <c r="I740" s="99"/>
    </row>
    <row r="741">
      <c r="I741" s="99"/>
    </row>
    <row r="742">
      <c r="I742" s="99"/>
    </row>
    <row r="743">
      <c r="I743" s="99"/>
    </row>
    <row r="744">
      <c r="I744" s="99"/>
    </row>
    <row r="745">
      <c r="I745" s="99"/>
    </row>
    <row r="746">
      <c r="I746" s="99"/>
    </row>
    <row r="747">
      <c r="I747" s="99"/>
    </row>
    <row r="748">
      <c r="I748" s="99"/>
    </row>
    <row r="749">
      <c r="I749" s="99"/>
    </row>
    <row r="750">
      <c r="I750" s="99"/>
    </row>
    <row r="751">
      <c r="I751" s="99"/>
    </row>
    <row r="752">
      <c r="I752" s="99"/>
    </row>
    <row r="753">
      <c r="I753" s="99"/>
    </row>
    <row r="754">
      <c r="I754" s="99"/>
    </row>
    <row r="755">
      <c r="I755" s="99"/>
    </row>
    <row r="756">
      <c r="I756" s="99"/>
    </row>
    <row r="757">
      <c r="I757" s="99"/>
    </row>
    <row r="758">
      <c r="I758" s="99"/>
    </row>
    <row r="759">
      <c r="I759" s="99"/>
    </row>
    <row r="760">
      <c r="I760" s="99"/>
    </row>
    <row r="761">
      <c r="I761" s="99"/>
    </row>
    <row r="762">
      <c r="I762" s="99"/>
    </row>
    <row r="763">
      <c r="I763" s="99"/>
    </row>
    <row r="764">
      <c r="I764" s="99"/>
    </row>
    <row r="765">
      <c r="I765" s="99"/>
    </row>
    <row r="766">
      <c r="I766" s="99"/>
    </row>
    <row r="767">
      <c r="I767" s="99"/>
    </row>
    <row r="768">
      <c r="I768" s="99"/>
    </row>
    <row r="769">
      <c r="I769" s="99"/>
    </row>
    <row r="770">
      <c r="I770" s="99"/>
    </row>
    <row r="771">
      <c r="I771" s="99"/>
    </row>
    <row r="772">
      <c r="I772" s="99"/>
    </row>
    <row r="773">
      <c r="I773" s="99"/>
    </row>
    <row r="774">
      <c r="I774" s="99"/>
    </row>
    <row r="775">
      <c r="I775" s="99"/>
    </row>
    <row r="776">
      <c r="I776" s="99"/>
    </row>
    <row r="777">
      <c r="I777" s="99"/>
    </row>
    <row r="778">
      <c r="I778" s="99"/>
    </row>
    <row r="779">
      <c r="I779" s="99"/>
    </row>
    <row r="780">
      <c r="I780" s="99"/>
    </row>
    <row r="781">
      <c r="I781" s="99"/>
    </row>
    <row r="782">
      <c r="I782" s="99"/>
    </row>
    <row r="783">
      <c r="I783" s="99"/>
    </row>
    <row r="784">
      <c r="I784" s="99"/>
    </row>
    <row r="785">
      <c r="I785" s="99"/>
    </row>
    <row r="786">
      <c r="I786" s="99"/>
    </row>
    <row r="787">
      <c r="I787" s="99"/>
    </row>
    <row r="788">
      <c r="I788" s="99"/>
    </row>
    <row r="789">
      <c r="I789" s="99"/>
    </row>
    <row r="790">
      <c r="I790" s="99"/>
    </row>
    <row r="791">
      <c r="I791" s="99"/>
    </row>
    <row r="792">
      <c r="I792" s="99"/>
    </row>
    <row r="793">
      <c r="I793" s="99"/>
    </row>
    <row r="794">
      <c r="I794" s="99"/>
    </row>
    <row r="795">
      <c r="I795" s="99"/>
    </row>
    <row r="796">
      <c r="I796" s="99"/>
    </row>
    <row r="797">
      <c r="I797" s="99"/>
    </row>
    <row r="798">
      <c r="I798" s="99"/>
    </row>
    <row r="799">
      <c r="I799" s="99"/>
    </row>
    <row r="800">
      <c r="I800" s="99"/>
    </row>
    <row r="801">
      <c r="I801" s="99"/>
    </row>
    <row r="802">
      <c r="I802" s="99"/>
    </row>
    <row r="803">
      <c r="I803" s="99"/>
    </row>
    <row r="804">
      <c r="I804" s="99"/>
    </row>
    <row r="805">
      <c r="I805" s="99"/>
    </row>
    <row r="806">
      <c r="I806" s="99"/>
    </row>
    <row r="807">
      <c r="I807" s="99"/>
    </row>
    <row r="808">
      <c r="I808" s="99"/>
    </row>
    <row r="809">
      <c r="I809" s="99"/>
    </row>
    <row r="810">
      <c r="I810" s="99"/>
    </row>
    <row r="811">
      <c r="I811" s="99"/>
    </row>
    <row r="812">
      <c r="I812" s="99"/>
    </row>
    <row r="813">
      <c r="I813" s="99"/>
    </row>
    <row r="814">
      <c r="I814" s="99"/>
    </row>
    <row r="815">
      <c r="I815" s="99"/>
    </row>
    <row r="816">
      <c r="I816" s="99"/>
    </row>
    <row r="817">
      <c r="I817" s="99"/>
    </row>
    <row r="818">
      <c r="I818" s="99"/>
    </row>
    <row r="819">
      <c r="I819" s="99"/>
    </row>
    <row r="820">
      <c r="I820" s="99"/>
    </row>
    <row r="821">
      <c r="I821" s="99"/>
    </row>
    <row r="822">
      <c r="I822" s="99"/>
    </row>
    <row r="823">
      <c r="I823" s="99"/>
    </row>
    <row r="824">
      <c r="I824" s="99"/>
    </row>
    <row r="825">
      <c r="I825" s="99"/>
    </row>
    <row r="826">
      <c r="I826" s="99"/>
    </row>
    <row r="827">
      <c r="I827" s="99"/>
    </row>
    <row r="828">
      <c r="I828" s="99"/>
    </row>
    <row r="829">
      <c r="I829" s="99"/>
    </row>
    <row r="830">
      <c r="I830" s="99"/>
    </row>
    <row r="831">
      <c r="I831" s="99"/>
    </row>
    <row r="832">
      <c r="I832" s="99"/>
    </row>
    <row r="833">
      <c r="I833" s="99"/>
    </row>
    <row r="834">
      <c r="I834" s="99"/>
    </row>
    <row r="835">
      <c r="I835" s="99"/>
    </row>
    <row r="836">
      <c r="I836" s="99"/>
    </row>
    <row r="837">
      <c r="I837" s="99"/>
    </row>
    <row r="838">
      <c r="I838" s="99"/>
    </row>
    <row r="839">
      <c r="I839" s="99"/>
    </row>
    <row r="840">
      <c r="I840" s="99"/>
    </row>
    <row r="841">
      <c r="I841" s="99"/>
    </row>
    <row r="842">
      <c r="I842" s="99"/>
    </row>
    <row r="843">
      <c r="I843" s="99"/>
    </row>
    <row r="844">
      <c r="I844" s="99"/>
    </row>
    <row r="845">
      <c r="I845" s="99"/>
    </row>
    <row r="846">
      <c r="I846" s="99"/>
    </row>
    <row r="847">
      <c r="I847" s="99"/>
    </row>
    <row r="848">
      <c r="I848" s="99"/>
    </row>
    <row r="849">
      <c r="I849" s="99"/>
    </row>
    <row r="850">
      <c r="I850" s="99"/>
    </row>
    <row r="851">
      <c r="I851" s="99"/>
    </row>
    <row r="852">
      <c r="I852" s="99"/>
    </row>
    <row r="853">
      <c r="I853" s="99"/>
    </row>
    <row r="854">
      <c r="I854" s="99"/>
    </row>
    <row r="855">
      <c r="I855" s="99"/>
    </row>
    <row r="856">
      <c r="I856" s="99"/>
    </row>
    <row r="857">
      <c r="I857" s="99"/>
    </row>
    <row r="858">
      <c r="I858" s="99"/>
    </row>
    <row r="859">
      <c r="I859" s="99"/>
    </row>
    <row r="860">
      <c r="I860" s="99"/>
    </row>
    <row r="861">
      <c r="I861" s="99"/>
    </row>
    <row r="862">
      <c r="I862" s="99"/>
    </row>
    <row r="863">
      <c r="I863" s="99"/>
    </row>
    <row r="864">
      <c r="I864" s="99"/>
    </row>
    <row r="865">
      <c r="I865" s="99"/>
    </row>
    <row r="866">
      <c r="I866" s="99"/>
    </row>
    <row r="867">
      <c r="I867" s="99"/>
    </row>
    <row r="868">
      <c r="I868" s="99"/>
    </row>
    <row r="869">
      <c r="I869" s="99"/>
    </row>
    <row r="870">
      <c r="I870" s="99"/>
    </row>
    <row r="871">
      <c r="I871" s="99"/>
    </row>
    <row r="872">
      <c r="I872" s="99"/>
    </row>
    <row r="873">
      <c r="I873" s="99"/>
    </row>
    <row r="874">
      <c r="I874" s="99"/>
    </row>
    <row r="875">
      <c r="I875" s="99"/>
    </row>
    <row r="876">
      <c r="I876" s="99"/>
    </row>
    <row r="877">
      <c r="I877" s="99"/>
    </row>
    <row r="878">
      <c r="I878" s="99"/>
    </row>
    <row r="879">
      <c r="I879" s="99"/>
    </row>
    <row r="880">
      <c r="I880" s="99"/>
    </row>
    <row r="881">
      <c r="I881" s="99"/>
    </row>
    <row r="882">
      <c r="I882" s="99"/>
    </row>
    <row r="883">
      <c r="I883" s="99"/>
    </row>
    <row r="884">
      <c r="I884" s="99"/>
    </row>
    <row r="885">
      <c r="I885" s="99"/>
    </row>
    <row r="886">
      <c r="I886" s="99"/>
    </row>
    <row r="887">
      <c r="I887" s="99"/>
    </row>
    <row r="888">
      <c r="I888" s="99"/>
    </row>
    <row r="889">
      <c r="I889" s="99"/>
    </row>
    <row r="890">
      <c r="I890" s="99"/>
    </row>
    <row r="891">
      <c r="I891" s="99"/>
    </row>
    <row r="892">
      <c r="I892" s="99"/>
    </row>
    <row r="893">
      <c r="I893" s="99"/>
    </row>
    <row r="894">
      <c r="I894" s="99"/>
    </row>
    <row r="895">
      <c r="I895" s="99"/>
    </row>
    <row r="896">
      <c r="I896" s="99"/>
    </row>
    <row r="897">
      <c r="I897" s="99"/>
    </row>
    <row r="898">
      <c r="I898" s="99"/>
    </row>
    <row r="899">
      <c r="I899" s="99"/>
    </row>
    <row r="900">
      <c r="I900" s="99"/>
    </row>
    <row r="901">
      <c r="I901" s="99"/>
    </row>
    <row r="902">
      <c r="I902" s="99"/>
    </row>
    <row r="903">
      <c r="I903" s="99"/>
    </row>
    <row r="904">
      <c r="I904" s="99"/>
    </row>
    <row r="905">
      <c r="I905" s="99"/>
    </row>
    <row r="906">
      <c r="I906" s="99"/>
    </row>
    <row r="907">
      <c r="I907" s="99"/>
    </row>
    <row r="908">
      <c r="I908" s="99"/>
    </row>
    <row r="909">
      <c r="I909" s="99"/>
    </row>
    <row r="910">
      <c r="I910" s="99"/>
    </row>
    <row r="911">
      <c r="I911" s="99"/>
    </row>
    <row r="912">
      <c r="I912" s="99"/>
    </row>
    <row r="913">
      <c r="I913" s="99"/>
    </row>
    <row r="914">
      <c r="I914" s="99"/>
    </row>
    <row r="915">
      <c r="I915" s="99"/>
    </row>
    <row r="916">
      <c r="I916" s="99"/>
    </row>
    <row r="917">
      <c r="I917" s="99"/>
    </row>
    <row r="918">
      <c r="I918" s="99"/>
    </row>
    <row r="919">
      <c r="I919" s="99"/>
    </row>
    <row r="920">
      <c r="I920" s="99"/>
    </row>
    <row r="921">
      <c r="I921" s="99"/>
    </row>
    <row r="922">
      <c r="I922" s="99"/>
    </row>
    <row r="923">
      <c r="I923" s="99"/>
    </row>
    <row r="924">
      <c r="I924" s="99"/>
    </row>
    <row r="925">
      <c r="I925" s="99"/>
    </row>
    <row r="926">
      <c r="I926" s="99"/>
    </row>
    <row r="927">
      <c r="I927" s="99"/>
    </row>
    <row r="928">
      <c r="I928" s="99"/>
    </row>
    <row r="929">
      <c r="I929" s="99"/>
    </row>
    <row r="930">
      <c r="I930" s="99"/>
    </row>
    <row r="931">
      <c r="I931" s="99"/>
    </row>
    <row r="932">
      <c r="I932" s="99"/>
    </row>
    <row r="933">
      <c r="I933" s="99"/>
    </row>
    <row r="934">
      <c r="I934" s="99"/>
    </row>
    <row r="935">
      <c r="I935" s="99"/>
    </row>
    <row r="936">
      <c r="I936" s="99"/>
    </row>
    <row r="937">
      <c r="I937" s="99"/>
    </row>
    <row r="938">
      <c r="I938" s="99"/>
    </row>
    <row r="939">
      <c r="I939" s="99"/>
    </row>
    <row r="940">
      <c r="I940" s="99"/>
    </row>
    <row r="941">
      <c r="I941" s="99"/>
    </row>
    <row r="942">
      <c r="I942" s="99"/>
    </row>
    <row r="943">
      <c r="I943" s="99"/>
    </row>
    <row r="944">
      <c r="I944" s="99"/>
    </row>
    <row r="945">
      <c r="I945" s="99"/>
    </row>
    <row r="946">
      <c r="I946" s="99"/>
    </row>
    <row r="947">
      <c r="I947" s="99"/>
    </row>
    <row r="948">
      <c r="I948" s="99"/>
    </row>
    <row r="949">
      <c r="I949" s="99"/>
    </row>
    <row r="950">
      <c r="I950" s="99"/>
    </row>
    <row r="951">
      <c r="I951" s="99"/>
    </row>
    <row r="952">
      <c r="I952" s="99"/>
    </row>
    <row r="953">
      <c r="I953" s="99"/>
    </row>
    <row r="954">
      <c r="I954" s="99"/>
    </row>
    <row r="955">
      <c r="I955" s="99"/>
    </row>
    <row r="956">
      <c r="I956" s="99"/>
    </row>
    <row r="957">
      <c r="I957" s="99"/>
    </row>
    <row r="958">
      <c r="I958" s="99"/>
    </row>
    <row r="959">
      <c r="I959" s="99"/>
    </row>
    <row r="960">
      <c r="I960" s="99"/>
    </row>
    <row r="961">
      <c r="I961" s="99"/>
    </row>
    <row r="962">
      <c r="I962" s="99"/>
    </row>
    <row r="963">
      <c r="I963" s="99"/>
    </row>
    <row r="964">
      <c r="I964" s="99"/>
    </row>
    <row r="965">
      <c r="I965" s="99"/>
    </row>
    <row r="966">
      <c r="I966" s="99"/>
    </row>
    <row r="967">
      <c r="I967" s="99"/>
    </row>
    <row r="968">
      <c r="I968" s="99"/>
    </row>
    <row r="969">
      <c r="I969" s="99"/>
    </row>
    <row r="970">
      <c r="I970" s="99"/>
    </row>
    <row r="971">
      <c r="I971" s="99"/>
    </row>
    <row r="972">
      <c r="I972" s="99"/>
    </row>
    <row r="973">
      <c r="I973" s="99"/>
    </row>
    <row r="974">
      <c r="I974" s="99"/>
    </row>
    <row r="975">
      <c r="I975" s="99"/>
    </row>
    <row r="976">
      <c r="I976" s="99"/>
    </row>
    <row r="977">
      <c r="I977" s="99"/>
    </row>
    <row r="978">
      <c r="I978" s="99"/>
    </row>
    <row r="979">
      <c r="I979" s="99"/>
    </row>
    <row r="980">
      <c r="I980" s="99"/>
    </row>
    <row r="981">
      <c r="I981" s="99"/>
    </row>
    <row r="982">
      <c r="I982" s="99"/>
    </row>
    <row r="983">
      <c r="I983" s="99"/>
    </row>
    <row r="984">
      <c r="I984" s="99"/>
    </row>
    <row r="985">
      <c r="I985" s="99"/>
    </row>
    <row r="986">
      <c r="I986" s="99"/>
    </row>
    <row r="987">
      <c r="I987" s="99"/>
    </row>
    <row r="988">
      <c r="I988" s="99"/>
    </row>
    <row r="989">
      <c r="I989" s="99"/>
    </row>
    <row r="990">
      <c r="I990" s="99"/>
    </row>
    <row r="991">
      <c r="I991" s="99"/>
    </row>
    <row r="992">
      <c r="I992" s="99"/>
    </row>
    <row r="993">
      <c r="I993" s="99"/>
    </row>
    <row r="994">
      <c r="I994" s="99"/>
    </row>
    <row r="995">
      <c r="I995" s="99"/>
    </row>
    <row r="996">
      <c r="I996" s="99"/>
    </row>
    <row r="997">
      <c r="I997" s="99"/>
    </row>
    <row r="998">
      <c r="I998" s="99"/>
    </row>
    <row r="999">
      <c r="I999" s="99"/>
    </row>
    <row r="1000">
      <c r="I1000" s="99"/>
    </row>
  </sheetData>
  <dataValidations>
    <dataValidation type="custom" allowBlank="1" showDropDown="1" sqref="B2:B499 G2:H499">
      <formula1>AND(ISNUMBER(B2),(NOT(OR(NOT(ISERROR(DATEVALUE(B2))), AND(ISNUMBER(B2), LEFT(CELL("format", B2))="D")))))</formula1>
    </dataValidation>
    <dataValidation type="list" allowBlank="1" showDropDown="1" showErrorMessage="1" sqref="D2:D499">
      <formula1>"ENGINEERING CRAFT,SOFT SKILLS,LEADERSHIP"</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outlineLevelRow="1"/>
  <cols>
    <col customWidth="1" min="1" max="1" width="33.88"/>
    <col customWidth="1" min="2" max="2" width="2.63"/>
    <col customWidth="1" min="3" max="7" width="8.5" outlineLevel="1"/>
    <col customWidth="1" min="8" max="8" width="2.75"/>
    <col customWidth="1" min="9" max="13" width="8.63" outlineLevel="1"/>
    <col customWidth="1" min="14" max="14" width="2.75"/>
    <col customWidth="1" min="15" max="19" width="9.38" outlineLevel="1"/>
    <col customWidth="1" min="20" max="20" width="2.75"/>
    <col customWidth="1" min="21" max="25" width="9.5" outlineLevel="1"/>
    <col customWidth="1" min="26" max="26" width="2.75"/>
    <col customWidth="1" min="27" max="31" width="9.5" outlineLevel="1"/>
    <col customWidth="1" min="32" max="32" width="2.75"/>
    <col customWidth="1" min="33" max="33" width="8.38" outlineLevel="1"/>
    <col customWidth="1" min="34" max="35" width="23.75" outlineLevel="1"/>
    <col customWidth="1" min="36" max="36" width="5.0"/>
    <col customWidth="1" min="37" max="37" width="8.38" outlineLevel="1"/>
    <col customWidth="1" min="38" max="39" width="23.75" outlineLevel="1"/>
    <col customWidth="1" min="40" max="40" width="5.0"/>
    <col customWidth="1" min="41" max="41" width="17.88"/>
    <col customWidth="1" min="42" max="42" width="37.75"/>
  </cols>
  <sheetData>
    <row r="1">
      <c r="A1" s="100" t="s">
        <v>536</v>
      </c>
      <c r="B1" s="101"/>
      <c r="AG1" s="102" t="s">
        <v>537</v>
      </c>
      <c r="AH1" s="103"/>
      <c r="AI1" s="103" t="s">
        <v>538</v>
      </c>
      <c r="AJ1" s="104"/>
      <c r="AK1" s="105" t="s">
        <v>539</v>
      </c>
      <c r="AL1" s="106"/>
      <c r="AM1" s="106" t="s">
        <v>540</v>
      </c>
      <c r="AN1" s="104"/>
      <c r="AO1" s="107" t="s">
        <v>541</v>
      </c>
    </row>
    <row r="2">
      <c r="A2" s="108"/>
      <c r="C2" s="109" t="s">
        <v>542</v>
      </c>
      <c r="H2" s="110"/>
      <c r="I2" s="109" t="s">
        <v>543</v>
      </c>
      <c r="N2" s="110"/>
      <c r="O2" s="109" t="s">
        <v>544</v>
      </c>
      <c r="T2" s="110"/>
      <c r="U2" s="109" t="s">
        <v>545</v>
      </c>
      <c r="Z2" s="110"/>
      <c r="AA2" s="109" t="s">
        <v>546</v>
      </c>
      <c r="AF2" s="110"/>
      <c r="AG2" s="111" t="s">
        <v>160</v>
      </c>
      <c r="AH2" s="111" t="s">
        <v>547</v>
      </c>
      <c r="AI2" s="111" t="s">
        <v>548</v>
      </c>
      <c r="AJ2" s="111"/>
      <c r="AK2" s="111" t="s">
        <v>160</v>
      </c>
      <c r="AL2" s="111" t="s">
        <v>547</v>
      </c>
      <c r="AM2" s="111" t="s">
        <v>548</v>
      </c>
      <c r="AN2" s="111"/>
      <c r="AO2" s="111"/>
      <c r="AP2" s="111"/>
    </row>
    <row r="3">
      <c r="A3" s="112" t="s">
        <v>113</v>
      </c>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O3" s="114" t="s">
        <v>549</v>
      </c>
    </row>
    <row r="4">
      <c r="A4" s="115" t="s">
        <v>114</v>
      </c>
      <c r="B4" s="109"/>
      <c r="C4" s="116"/>
      <c r="D4" s="116"/>
      <c r="E4" s="117"/>
      <c r="F4" s="117"/>
      <c r="G4" s="117"/>
      <c r="H4" s="109"/>
      <c r="I4" s="118"/>
      <c r="J4" s="118"/>
      <c r="K4" s="119"/>
      <c r="L4" s="119"/>
      <c r="M4" s="119"/>
      <c r="N4" s="109"/>
      <c r="O4" s="116"/>
      <c r="P4" s="116"/>
      <c r="Q4" s="116"/>
      <c r="R4" s="117"/>
      <c r="S4" s="117"/>
      <c r="T4" s="109"/>
      <c r="U4" s="116"/>
      <c r="V4" s="116"/>
      <c r="W4" s="116"/>
      <c r="X4" s="116"/>
      <c r="Y4" s="117"/>
      <c r="Z4" s="109"/>
      <c r="AA4" s="116"/>
      <c r="AB4" s="116"/>
      <c r="AC4" s="116"/>
      <c r="AD4" s="116"/>
      <c r="AE4" s="117"/>
      <c r="AF4" s="109"/>
      <c r="AG4" s="120" t="s">
        <v>550</v>
      </c>
      <c r="AH4" s="121" t="s">
        <v>551</v>
      </c>
      <c r="AK4" s="122"/>
      <c r="AO4" s="111" t="s">
        <v>552</v>
      </c>
      <c r="AP4" s="111" t="s">
        <v>553</v>
      </c>
    </row>
    <row r="5" outlineLevel="1">
      <c r="A5" s="123" t="s">
        <v>554</v>
      </c>
      <c r="C5" s="109" t="s">
        <v>555</v>
      </c>
      <c r="H5" s="109"/>
      <c r="I5" s="109" t="s">
        <v>555</v>
      </c>
      <c r="N5" s="109"/>
      <c r="O5" s="109" t="s">
        <v>556</v>
      </c>
      <c r="T5" s="109"/>
      <c r="U5" s="109" t="s">
        <v>557</v>
      </c>
      <c r="Z5" s="109"/>
      <c r="AA5" s="109" t="s">
        <v>557</v>
      </c>
      <c r="AF5" s="109"/>
      <c r="AH5" s="111" t="s">
        <v>558</v>
      </c>
      <c r="AI5" s="111" t="s">
        <v>559</v>
      </c>
      <c r="AJ5" s="111"/>
      <c r="AN5" s="111"/>
      <c r="AO5" s="111"/>
      <c r="AP5" s="111"/>
    </row>
    <row r="6" outlineLevel="1">
      <c r="A6" s="124"/>
      <c r="C6" s="125" t="s">
        <v>560</v>
      </c>
      <c r="H6" s="125"/>
      <c r="I6" s="125" t="s">
        <v>561</v>
      </c>
      <c r="N6" s="125"/>
      <c r="O6" s="125" t="s">
        <v>562</v>
      </c>
      <c r="T6" s="125"/>
      <c r="U6" s="125" t="s">
        <v>563</v>
      </c>
      <c r="Z6" s="125"/>
      <c r="AA6" s="125" t="s">
        <v>564</v>
      </c>
      <c r="AF6" s="125"/>
    </row>
    <row r="7" collapsed="1">
      <c r="A7" s="115" t="s">
        <v>118</v>
      </c>
      <c r="B7" s="109"/>
      <c r="C7" s="116"/>
      <c r="D7" s="116"/>
      <c r="E7" s="117"/>
      <c r="F7" s="117"/>
      <c r="G7" s="117"/>
      <c r="H7" s="109"/>
      <c r="I7" s="118"/>
      <c r="J7" s="118"/>
      <c r="K7" s="119"/>
      <c r="L7" s="119"/>
      <c r="M7" s="119"/>
      <c r="N7" s="109"/>
      <c r="O7" s="116"/>
      <c r="P7" s="116"/>
      <c r="Q7" s="116"/>
      <c r="R7" s="117"/>
      <c r="S7" s="117"/>
      <c r="T7" s="109"/>
      <c r="U7" s="116"/>
      <c r="V7" s="116"/>
      <c r="W7" s="116"/>
      <c r="X7" s="117"/>
      <c r="Y7" s="117"/>
      <c r="Z7" s="109"/>
      <c r="AA7" s="116"/>
      <c r="AB7" s="116"/>
      <c r="AC7" s="116"/>
      <c r="AD7" s="116"/>
      <c r="AE7" s="117"/>
      <c r="AF7" s="109"/>
      <c r="AG7" s="126" t="s">
        <v>565</v>
      </c>
      <c r="AH7" s="127" t="s">
        <v>566</v>
      </c>
      <c r="AK7" s="122"/>
    </row>
    <row r="8" hidden="1" outlineLevel="1">
      <c r="A8" s="123" t="s">
        <v>567</v>
      </c>
      <c r="C8" s="109" t="s">
        <v>568</v>
      </c>
      <c r="H8" s="109"/>
      <c r="I8" s="109" t="s">
        <v>568</v>
      </c>
      <c r="N8" s="109"/>
      <c r="O8" s="109" t="s">
        <v>569</v>
      </c>
      <c r="T8" s="109"/>
      <c r="U8" s="109" t="s">
        <v>569</v>
      </c>
      <c r="Z8" s="109"/>
      <c r="AA8" s="109" t="s">
        <v>570</v>
      </c>
      <c r="AF8" s="109"/>
      <c r="AH8" s="111" t="s">
        <v>558</v>
      </c>
      <c r="AI8" s="111" t="s">
        <v>559</v>
      </c>
      <c r="AJ8" s="111"/>
      <c r="AN8" s="111"/>
    </row>
    <row r="9" hidden="1" outlineLevel="1">
      <c r="A9" s="124"/>
      <c r="C9" s="125" t="s">
        <v>571</v>
      </c>
      <c r="H9" s="125"/>
      <c r="I9" s="125" t="s">
        <v>572</v>
      </c>
      <c r="N9" s="125"/>
      <c r="O9" s="125" t="s">
        <v>573</v>
      </c>
      <c r="T9" s="125"/>
      <c r="U9" s="125" t="s">
        <v>574</v>
      </c>
      <c r="Z9" s="125"/>
      <c r="AA9" s="125" t="s">
        <v>575</v>
      </c>
      <c r="AF9" s="125"/>
    </row>
    <row r="10" collapsed="1">
      <c r="A10" s="115" t="s">
        <v>123</v>
      </c>
      <c r="B10" s="109"/>
      <c r="C10" s="116"/>
      <c r="D10" s="117"/>
      <c r="E10" s="117"/>
      <c r="F10" s="117"/>
      <c r="G10" s="117"/>
      <c r="H10" s="109"/>
      <c r="I10" s="118"/>
      <c r="J10" s="118"/>
      <c r="K10" s="119"/>
      <c r="L10" s="119"/>
      <c r="M10" s="119"/>
      <c r="N10" s="109"/>
      <c r="O10" s="116"/>
      <c r="P10" s="116"/>
      <c r="Q10" s="116"/>
      <c r="R10" s="117"/>
      <c r="S10" s="117"/>
      <c r="T10" s="109"/>
      <c r="U10" s="116"/>
      <c r="V10" s="116"/>
      <c r="W10" s="116"/>
      <c r="X10" s="117"/>
      <c r="Y10" s="117"/>
      <c r="Z10" s="109"/>
      <c r="AA10" s="116"/>
      <c r="AB10" s="116"/>
      <c r="AC10" s="116"/>
      <c r="AD10" s="116"/>
      <c r="AE10" s="117"/>
      <c r="AF10" s="109"/>
      <c r="AG10" s="120" t="s">
        <v>550</v>
      </c>
      <c r="AH10" s="128" t="s">
        <v>576</v>
      </c>
      <c r="AK10" s="122"/>
      <c r="AO10" s="114" t="s">
        <v>577</v>
      </c>
    </row>
    <row r="11" hidden="1" outlineLevel="1">
      <c r="A11" s="123" t="s">
        <v>578</v>
      </c>
      <c r="C11" s="109" t="s">
        <v>579</v>
      </c>
      <c r="H11" s="109"/>
      <c r="I11" s="109" t="s">
        <v>580</v>
      </c>
      <c r="N11" s="109"/>
      <c r="O11" s="109" t="s">
        <v>581</v>
      </c>
      <c r="T11" s="109"/>
      <c r="U11" s="109" t="s">
        <v>581</v>
      </c>
      <c r="Z11" s="109"/>
      <c r="AA11" s="109" t="s">
        <v>582</v>
      </c>
      <c r="AF11" s="109"/>
      <c r="AH11" s="111" t="s">
        <v>558</v>
      </c>
      <c r="AI11" s="111" t="s">
        <v>559</v>
      </c>
      <c r="AJ11" s="111"/>
      <c r="AN11" s="111"/>
    </row>
    <row r="12" hidden="1" outlineLevel="1">
      <c r="A12" s="124"/>
      <c r="C12" s="125" t="s">
        <v>583</v>
      </c>
      <c r="H12" s="125"/>
      <c r="I12" s="125" t="s">
        <v>584</v>
      </c>
      <c r="N12" s="125"/>
      <c r="O12" s="125" t="s">
        <v>585</v>
      </c>
      <c r="T12" s="125"/>
      <c r="U12" s="125" t="s">
        <v>586</v>
      </c>
      <c r="Z12" s="125"/>
      <c r="AA12" s="125" t="s">
        <v>587</v>
      </c>
      <c r="AF12" s="125"/>
    </row>
    <row r="13" collapsed="1">
      <c r="A13" s="115" t="s">
        <v>127</v>
      </c>
      <c r="B13" s="109"/>
      <c r="C13" s="116"/>
      <c r="D13" s="117"/>
      <c r="E13" s="117"/>
      <c r="F13" s="117"/>
      <c r="G13" s="117"/>
      <c r="H13" s="109"/>
      <c r="I13" s="118"/>
      <c r="J13" s="118"/>
      <c r="K13" s="119"/>
      <c r="L13" s="119"/>
      <c r="M13" s="119"/>
      <c r="N13" s="109"/>
      <c r="O13" s="116"/>
      <c r="P13" s="116"/>
      <c r="Q13" s="116"/>
      <c r="R13" s="117"/>
      <c r="S13" s="117"/>
      <c r="T13" s="109"/>
      <c r="U13" s="116"/>
      <c r="V13" s="116"/>
      <c r="W13" s="116"/>
      <c r="X13" s="116"/>
      <c r="Y13" s="117"/>
      <c r="Z13" s="109"/>
      <c r="AA13" s="116"/>
      <c r="AB13" s="116"/>
      <c r="AC13" s="116"/>
      <c r="AD13" s="116"/>
      <c r="AE13" s="117"/>
      <c r="AF13" s="109"/>
      <c r="AG13" s="122" t="s">
        <v>588</v>
      </c>
      <c r="AK13" s="122"/>
      <c r="AO13" s="120" t="s">
        <v>589</v>
      </c>
      <c r="AP13" s="111" t="s">
        <v>590</v>
      </c>
    </row>
    <row r="14" hidden="1" outlineLevel="1">
      <c r="A14" s="123" t="s">
        <v>591</v>
      </c>
      <c r="C14" s="109" t="s">
        <v>592</v>
      </c>
      <c r="H14" s="109"/>
      <c r="I14" s="109" t="s">
        <v>593</v>
      </c>
      <c r="N14" s="109"/>
      <c r="O14" s="109" t="s">
        <v>594</v>
      </c>
      <c r="T14" s="109"/>
      <c r="U14" s="109" t="s">
        <v>595</v>
      </c>
      <c r="Z14" s="109"/>
      <c r="AA14" s="109" t="s">
        <v>596</v>
      </c>
      <c r="AF14" s="109"/>
      <c r="AH14" s="111" t="s">
        <v>558</v>
      </c>
      <c r="AI14" s="111" t="s">
        <v>559</v>
      </c>
      <c r="AJ14" s="111"/>
      <c r="AN14" s="111"/>
      <c r="AP14" s="111"/>
    </row>
    <row r="15" hidden="1" outlineLevel="1">
      <c r="A15" s="124"/>
      <c r="C15" s="125" t="s">
        <v>597</v>
      </c>
      <c r="H15" s="125"/>
      <c r="I15" s="125" t="s">
        <v>598</v>
      </c>
      <c r="N15" s="125"/>
      <c r="O15" s="125" t="s">
        <v>599</v>
      </c>
      <c r="T15" s="125"/>
      <c r="U15" s="125" t="s">
        <v>600</v>
      </c>
      <c r="Z15" s="125"/>
      <c r="AA15" s="109" t="s">
        <v>596</v>
      </c>
      <c r="AF15" s="125"/>
    </row>
    <row r="16" collapsed="1">
      <c r="A16" s="115" t="s">
        <v>132</v>
      </c>
      <c r="B16" s="109"/>
      <c r="C16" s="116"/>
      <c r="D16" s="117"/>
      <c r="E16" s="117"/>
      <c r="F16" s="117"/>
      <c r="G16" s="117"/>
      <c r="H16" s="109"/>
      <c r="I16" s="118"/>
      <c r="J16" s="118"/>
      <c r="K16" s="119"/>
      <c r="L16" s="119"/>
      <c r="M16" s="119"/>
      <c r="N16" s="109"/>
      <c r="O16" s="116"/>
      <c r="P16" s="116"/>
      <c r="Q16" s="116"/>
      <c r="R16" s="117"/>
      <c r="S16" s="117"/>
      <c r="T16" s="109"/>
      <c r="U16" s="116"/>
      <c r="V16" s="116"/>
      <c r="W16" s="116"/>
      <c r="X16" s="117"/>
      <c r="Y16" s="117"/>
      <c r="Z16" s="109"/>
      <c r="AA16" s="116"/>
      <c r="AB16" s="116"/>
      <c r="AC16" s="116"/>
      <c r="AD16" s="116"/>
      <c r="AE16" s="117"/>
      <c r="AF16" s="109"/>
      <c r="AG16" s="122" t="s">
        <v>588</v>
      </c>
      <c r="AK16" s="122"/>
      <c r="AO16" s="122" t="s">
        <v>601</v>
      </c>
      <c r="AP16" s="111" t="s">
        <v>602</v>
      </c>
    </row>
    <row r="17" hidden="1" outlineLevel="1">
      <c r="A17" s="123"/>
      <c r="C17" s="109" t="s">
        <v>208</v>
      </c>
      <c r="H17" s="109"/>
      <c r="I17" s="109" t="s">
        <v>256</v>
      </c>
      <c r="N17" s="109"/>
      <c r="O17" s="109" t="s">
        <v>603</v>
      </c>
      <c r="T17" s="109"/>
      <c r="U17" s="109" t="s">
        <v>603</v>
      </c>
      <c r="Z17" s="109"/>
      <c r="AA17" s="109" t="s">
        <v>604</v>
      </c>
      <c r="AF17" s="109"/>
      <c r="AH17" s="111" t="s">
        <v>558</v>
      </c>
      <c r="AI17" s="111" t="s">
        <v>559</v>
      </c>
      <c r="AJ17" s="111"/>
      <c r="AN17" s="111"/>
      <c r="AO17" s="111"/>
      <c r="AP17" s="111"/>
    </row>
    <row r="18" hidden="1" outlineLevel="1">
      <c r="A18" s="124"/>
      <c r="C18" s="125"/>
      <c r="H18" s="125"/>
      <c r="I18" s="125"/>
      <c r="N18" s="125"/>
      <c r="O18" s="125"/>
      <c r="T18" s="125"/>
      <c r="U18" s="129"/>
      <c r="Z18" s="125"/>
      <c r="AA18" s="129" t="s">
        <v>605</v>
      </c>
      <c r="AF18" s="125"/>
    </row>
    <row r="19">
      <c r="AO19" s="126" t="s">
        <v>606</v>
      </c>
      <c r="AP19" s="111" t="s">
        <v>607</v>
      </c>
    </row>
    <row r="20">
      <c r="A20" s="112" t="s">
        <v>78</v>
      </c>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row>
    <row r="21" collapsed="1">
      <c r="A21" s="115" t="s">
        <v>79</v>
      </c>
      <c r="B21" s="109"/>
      <c r="C21" s="116"/>
      <c r="D21" s="116"/>
      <c r="E21" s="117"/>
      <c r="F21" s="117"/>
      <c r="G21" s="117"/>
      <c r="H21" s="109"/>
      <c r="I21" s="118"/>
      <c r="J21" s="118"/>
      <c r="K21" s="118"/>
      <c r="L21" s="119"/>
      <c r="M21" s="119"/>
      <c r="N21" s="109"/>
      <c r="O21" s="116"/>
      <c r="P21" s="116"/>
      <c r="Q21" s="116"/>
      <c r="R21" s="117"/>
      <c r="S21" s="117"/>
      <c r="T21" s="109"/>
      <c r="U21" s="116"/>
      <c r="V21" s="116"/>
      <c r="W21" s="116"/>
      <c r="X21" s="116"/>
      <c r="Y21" s="117"/>
      <c r="Z21" s="109"/>
      <c r="AA21" s="116"/>
      <c r="AB21" s="116"/>
      <c r="AC21" s="116"/>
      <c r="AD21" s="116"/>
      <c r="AE21" s="116"/>
      <c r="AF21" s="109"/>
      <c r="AG21" s="122" t="s">
        <v>608</v>
      </c>
      <c r="AK21" s="122"/>
    </row>
    <row r="22" hidden="1" outlineLevel="1">
      <c r="A22" s="123" t="s">
        <v>609</v>
      </c>
      <c r="C22" s="109" t="s">
        <v>610</v>
      </c>
      <c r="H22" s="109"/>
      <c r="I22" s="109" t="s">
        <v>611</v>
      </c>
      <c r="N22" s="109"/>
      <c r="O22" s="109" t="s">
        <v>611</v>
      </c>
      <c r="T22" s="109"/>
      <c r="U22" s="109" t="s">
        <v>612</v>
      </c>
      <c r="Z22" s="109"/>
      <c r="AA22" s="109" t="s">
        <v>613</v>
      </c>
      <c r="AF22" s="109"/>
      <c r="AH22" s="111" t="s">
        <v>558</v>
      </c>
      <c r="AI22" s="111" t="s">
        <v>559</v>
      </c>
      <c r="AJ22" s="111"/>
      <c r="AN22" s="111"/>
      <c r="AO22" s="111"/>
      <c r="AP22" s="111"/>
    </row>
    <row r="23" hidden="1" outlineLevel="1">
      <c r="A23" s="124"/>
      <c r="C23" s="125" t="s">
        <v>614</v>
      </c>
      <c r="H23" s="125"/>
      <c r="I23" s="125" t="s">
        <v>615</v>
      </c>
      <c r="N23" s="125"/>
      <c r="O23" s="125" t="s">
        <v>616</v>
      </c>
      <c r="T23" s="125"/>
      <c r="U23" s="125" t="s">
        <v>617</v>
      </c>
      <c r="Z23" s="125"/>
      <c r="AA23" s="125" t="s">
        <v>618</v>
      </c>
      <c r="AF23" s="125"/>
    </row>
    <row r="24" collapsed="1">
      <c r="A24" s="115" t="s">
        <v>83</v>
      </c>
      <c r="B24" s="109"/>
      <c r="C24" s="116"/>
      <c r="D24" s="117"/>
      <c r="E24" s="117"/>
      <c r="F24" s="117"/>
      <c r="G24" s="117"/>
      <c r="H24" s="109"/>
      <c r="I24" s="118"/>
      <c r="J24" s="118"/>
      <c r="K24" s="119"/>
      <c r="L24" s="119"/>
      <c r="M24" s="119"/>
      <c r="N24" s="109"/>
      <c r="O24" s="116"/>
      <c r="P24" s="116"/>
      <c r="Q24" s="116"/>
      <c r="R24" s="117"/>
      <c r="S24" s="117"/>
      <c r="T24" s="109"/>
      <c r="U24" s="116"/>
      <c r="V24" s="116"/>
      <c r="W24" s="116"/>
      <c r="X24" s="116"/>
      <c r="Y24" s="117"/>
      <c r="Z24" s="109"/>
      <c r="AA24" s="116"/>
      <c r="AB24" s="116"/>
      <c r="AC24" s="116"/>
      <c r="AD24" s="116"/>
      <c r="AE24" s="116"/>
      <c r="AF24" s="109"/>
      <c r="AG24" s="122" t="s">
        <v>608</v>
      </c>
      <c r="AK24" s="122"/>
    </row>
    <row r="25" hidden="1" outlineLevel="1">
      <c r="A25" s="123" t="s">
        <v>619</v>
      </c>
      <c r="C25" s="109" t="s">
        <v>620</v>
      </c>
      <c r="H25" s="109"/>
      <c r="I25" s="109" t="s">
        <v>621</v>
      </c>
      <c r="N25" s="109"/>
      <c r="O25" s="109" t="s">
        <v>622</v>
      </c>
      <c r="T25" s="109"/>
      <c r="U25" s="109" t="s">
        <v>623</v>
      </c>
      <c r="Z25" s="109"/>
      <c r="AA25" s="109" t="s">
        <v>624</v>
      </c>
      <c r="AF25" s="109"/>
      <c r="AH25" s="111" t="s">
        <v>558</v>
      </c>
      <c r="AI25" s="111" t="s">
        <v>559</v>
      </c>
      <c r="AJ25" s="111"/>
      <c r="AN25" s="111"/>
      <c r="AO25" s="111"/>
      <c r="AP25" s="111"/>
    </row>
    <row r="26" hidden="1" outlineLevel="1">
      <c r="A26" s="124"/>
      <c r="C26" s="125" t="s">
        <v>625</v>
      </c>
      <c r="H26" s="125"/>
      <c r="I26" s="125" t="s">
        <v>626</v>
      </c>
      <c r="N26" s="125"/>
      <c r="O26" s="125" t="s">
        <v>627</v>
      </c>
      <c r="T26" s="125"/>
      <c r="U26" s="125" t="s">
        <v>628</v>
      </c>
      <c r="Z26" s="125"/>
      <c r="AA26" s="125" t="s">
        <v>629</v>
      </c>
      <c r="AF26" s="125"/>
    </row>
    <row r="27" collapsed="1">
      <c r="A27" s="115" t="s">
        <v>89</v>
      </c>
      <c r="B27" s="109"/>
      <c r="C27" s="116"/>
      <c r="D27" s="117"/>
      <c r="E27" s="117"/>
      <c r="F27" s="117"/>
      <c r="G27" s="117"/>
      <c r="H27" s="109"/>
      <c r="I27" s="118"/>
      <c r="J27" s="118"/>
      <c r="K27" s="119"/>
      <c r="L27" s="119"/>
      <c r="M27" s="119"/>
      <c r="N27" s="109"/>
      <c r="O27" s="116"/>
      <c r="P27" s="116"/>
      <c r="Q27" s="116"/>
      <c r="R27" s="117"/>
      <c r="S27" s="117"/>
      <c r="T27" s="109"/>
      <c r="U27" s="116"/>
      <c r="V27" s="116"/>
      <c r="W27" s="116"/>
      <c r="X27" s="116"/>
      <c r="Y27" s="117"/>
      <c r="Z27" s="109"/>
      <c r="AA27" s="116"/>
      <c r="AB27" s="116"/>
      <c r="AC27" s="116"/>
      <c r="AD27" s="116"/>
      <c r="AE27" s="116"/>
      <c r="AF27" s="109"/>
      <c r="AG27" s="122" t="s">
        <v>608</v>
      </c>
      <c r="AK27" s="122"/>
    </row>
    <row r="28" hidden="1" outlineLevel="1">
      <c r="A28" s="123" t="s">
        <v>630</v>
      </c>
      <c r="C28" s="109" t="s">
        <v>631</v>
      </c>
      <c r="H28" s="109"/>
      <c r="I28" s="109" t="s">
        <v>632</v>
      </c>
      <c r="N28" s="109"/>
      <c r="O28" s="109" t="s">
        <v>633</v>
      </c>
      <c r="T28" s="109"/>
      <c r="U28" s="109" t="s">
        <v>634</v>
      </c>
      <c r="Z28" s="109"/>
      <c r="AA28" s="109" t="s">
        <v>635</v>
      </c>
      <c r="AF28" s="109"/>
      <c r="AH28" s="111" t="s">
        <v>558</v>
      </c>
      <c r="AI28" s="111" t="s">
        <v>559</v>
      </c>
      <c r="AJ28" s="111"/>
      <c r="AN28" s="111"/>
      <c r="AO28" s="111"/>
      <c r="AP28" s="111"/>
    </row>
    <row r="29" hidden="1" outlineLevel="1">
      <c r="A29" s="124"/>
      <c r="C29" s="125" t="s">
        <v>636</v>
      </c>
      <c r="H29" s="125"/>
      <c r="I29" s="125" t="s">
        <v>637</v>
      </c>
      <c r="N29" s="125"/>
      <c r="O29" s="125" t="s">
        <v>638</v>
      </c>
      <c r="T29" s="125"/>
      <c r="U29" s="125" t="s">
        <v>639</v>
      </c>
      <c r="Z29" s="125"/>
      <c r="AA29" s="125" t="s">
        <v>640</v>
      </c>
      <c r="AF29" s="125"/>
    </row>
    <row r="30" collapsed="1">
      <c r="A30" s="115" t="s">
        <v>94</v>
      </c>
      <c r="B30" s="109"/>
      <c r="C30" s="116"/>
      <c r="D30" s="117"/>
      <c r="E30" s="117"/>
      <c r="F30" s="117"/>
      <c r="G30" s="117"/>
      <c r="H30" s="109"/>
      <c r="I30" s="118"/>
      <c r="J30" s="118"/>
      <c r="K30" s="119"/>
      <c r="L30" s="119"/>
      <c r="M30" s="119"/>
      <c r="N30" s="109"/>
      <c r="O30" s="116"/>
      <c r="P30" s="116"/>
      <c r="Q30" s="116"/>
      <c r="R30" s="117"/>
      <c r="S30" s="117"/>
      <c r="T30" s="109"/>
      <c r="U30" s="116"/>
      <c r="V30" s="116"/>
      <c r="W30" s="116"/>
      <c r="X30" s="116"/>
      <c r="Y30" s="117"/>
      <c r="Z30" s="109"/>
      <c r="AA30" s="116"/>
      <c r="AB30" s="116"/>
      <c r="AC30" s="116"/>
      <c r="AD30" s="116"/>
      <c r="AE30" s="117"/>
      <c r="AF30" s="109"/>
      <c r="AG30" s="122" t="s">
        <v>608</v>
      </c>
      <c r="AK30" s="122"/>
    </row>
    <row r="31" hidden="1" outlineLevel="1">
      <c r="A31" s="123" t="s">
        <v>641</v>
      </c>
      <c r="C31" s="109" t="s">
        <v>642</v>
      </c>
      <c r="H31" s="109"/>
      <c r="I31" s="109" t="s">
        <v>643</v>
      </c>
      <c r="N31" s="109"/>
      <c r="O31" s="109" t="s">
        <v>644</v>
      </c>
      <c r="T31" s="109"/>
      <c r="U31" s="109" t="s">
        <v>645</v>
      </c>
      <c r="Z31" s="109"/>
      <c r="AA31" s="109" t="s">
        <v>645</v>
      </c>
      <c r="AF31" s="109"/>
      <c r="AH31" s="111" t="s">
        <v>558</v>
      </c>
      <c r="AI31" s="111" t="s">
        <v>559</v>
      </c>
      <c r="AJ31" s="111"/>
      <c r="AN31" s="111"/>
      <c r="AO31" s="111"/>
      <c r="AP31" s="111"/>
    </row>
    <row r="32" hidden="1" outlineLevel="1">
      <c r="A32" s="124"/>
      <c r="C32" s="125" t="s">
        <v>646</v>
      </c>
      <c r="H32" s="125"/>
      <c r="I32" s="125" t="s">
        <v>647</v>
      </c>
      <c r="N32" s="125"/>
      <c r="O32" s="125" t="s">
        <v>648</v>
      </c>
      <c r="T32" s="125"/>
      <c r="U32" s="125" t="s">
        <v>649</v>
      </c>
      <c r="Z32" s="125"/>
      <c r="AA32" s="125" t="s">
        <v>650</v>
      </c>
      <c r="AF32" s="125"/>
    </row>
    <row r="33" collapsed="1">
      <c r="A33" s="115" t="s">
        <v>100</v>
      </c>
      <c r="B33" s="109"/>
      <c r="C33" s="116"/>
      <c r="D33" s="117"/>
      <c r="E33" s="117"/>
      <c r="F33" s="117"/>
      <c r="G33" s="117"/>
      <c r="H33" s="109"/>
      <c r="I33" s="118"/>
      <c r="J33" s="118"/>
      <c r="K33" s="119"/>
      <c r="L33" s="119"/>
      <c r="M33" s="119"/>
      <c r="N33" s="109"/>
      <c r="O33" s="116"/>
      <c r="P33" s="116"/>
      <c r="Q33" s="116"/>
      <c r="R33" s="117"/>
      <c r="S33" s="117"/>
      <c r="T33" s="109"/>
      <c r="U33" s="116"/>
      <c r="V33" s="116"/>
      <c r="W33" s="116"/>
      <c r="X33" s="116"/>
      <c r="Y33" s="117"/>
      <c r="Z33" s="109"/>
      <c r="AA33" s="116"/>
      <c r="AB33" s="116"/>
      <c r="AC33" s="116"/>
      <c r="AD33" s="116"/>
      <c r="AE33" s="116"/>
      <c r="AF33" s="109"/>
      <c r="AG33" s="122" t="s">
        <v>608</v>
      </c>
      <c r="AK33" s="122"/>
    </row>
    <row r="34" hidden="1" outlineLevel="1">
      <c r="A34" s="123" t="s">
        <v>651</v>
      </c>
      <c r="C34" s="109" t="s">
        <v>652</v>
      </c>
      <c r="H34" s="109"/>
      <c r="I34" s="109" t="s">
        <v>653</v>
      </c>
      <c r="N34" s="109"/>
      <c r="O34" s="109" t="s">
        <v>654</v>
      </c>
      <c r="T34" s="109"/>
      <c r="U34" s="109" t="s">
        <v>655</v>
      </c>
      <c r="Z34" s="109"/>
      <c r="AA34" s="109" t="s">
        <v>656</v>
      </c>
      <c r="AF34" s="109"/>
      <c r="AH34" s="111" t="s">
        <v>558</v>
      </c>
      <c r="AI34" s="111" t="s">
        <v>559</v>
      </c>
      <c r="AJ34" s="111"/>
      <c r="AN34" s="111"/>
      <c r="AO34" s="111"/>
      <c r="AP34" s="111"/>
    </row>
    <row r="35" hidden="1" outlineLevel="1">
      <c r="A35" s="124"/>
      <c r="C35" s="125" t="s">
        <v>657</v>
      </c>
      <c r="H35" s="125"/>
      <c r="I35" s="125" t="s">
        <v>658</v>
      </c>
      <c r="N35" s="125"/>
      <c r="O35" s="125" t="s">
        <v>659</v>
      </c>
      <c r="T35" s="125"/>
      <c r="U35" s="125" t="s">
        <v>660</v>
      </c>
      <c r="Z35" s="125"/>
      <c r="AA35" s="125" t="s">
        <v>661</v>
      </c>
      <c r="AF35" s="125"/>
    </row>
    <row r="36" collapsed="1">
      <c r="A36" s="115" t="s">
        <v>107</v>
      </c>
      <c r="B36" s="109"/>
      <c r="C36" s="116"/>
      <c r="D36" s="117"/>
      <c r="E36" s="117"/>
      <c r="F36" s="117"/>
      <c r="G36" s="117"/>
      <c r="H36" s="109"/>
      <c r="I36" s="118"/>
      <c r="J36" s="118"/>
      <c r="K36" s="119"/>
      <c r="L36" s="119"/>
      <c r="M36" s="119"/>
      <c r="N36" s="109"/>
      <c r="O36" s="116"/>
      <c r="P36" s="116"/>
      <c r="Q36" s="116"/>
      <c r="R36" s="117"/>
      <c r="S36" s="117"/>
      <c r="T36" s="109"/>
      <c r="U36" s="116"/>
      <c r="V36" s="116"/>
      <c r="W36" s="116"/>
      <c r="X36" s="116"/>
      <c r="Y36" s="117"/>
      <c r="Z36" s="109"/>
      <c r="AA36" s="116"/>
      <c r="AB36" s="116"/>
      <c r="AC36" s="116"/>
      <c r="AD36" s="116"/>
      <c r="AE36" s="116"/>
      <c r="AF36" s="109"/>
      <c r="AG36" s="122" t="s">
        <v>608</v>
      </c>
      <c r="AK36" s="122"/>
    </row>
    <row r="37" hidden="1" outlineLevel="1">
      <c r="A37" s="123" t="s">
        <v>662</v>
      </c>
      <c r="C37" s="109" t="s">
        <v>663</v>
      </c>
      <c r="H37" s="109"/>
      <c r="I37" s="109" t="s">
        <v>664</v>
      </c>
      <c r="N37" s="109"/>
      <c r="O37" s="109" t="s">
        <v>665</v>
      </c>
      <c r="T37" s="109"/>
      <c r="U37" s="109" t="s">
        <v>666</v>
      </c>
      <c r="Z37" s="109"/>
      <c r="AA37" s="109" t="s">
        <v>667</v>
      </c>
      <c r="AF37" s="109"/>
      <c r="AH37" s="111" t="s">
        <v>558</v>
      </c>
      <c r="AI37" s="111" t="s">
        <v>559</v>
      </c>
      <c r="AJ37" s="111"/>
      <c r="AN37" s="111"/>
      <c r="AO37" s="111"/>
      <c r="AP37" s="111"/>
    </row>
    <row r="38" hidden="1" outlineLevel="1">
      <c r="A38" s="124"/>
      <c r="C38" s="125" t="s">
        <v>668</v>
      </c>
      <c r="H38" s="125"/>
      <c r="I38" s="125" t="s">
        <v>669</v>
      </c>
      <c r="N38" s="125"/>
      <c r="O38" s="125" t="s">
        <v>670</v>
      </c>
      <c r="T38" s="125"/>
      <c r="U38" s="125" t="s">
        <v>671</v>
      </c>
      <c r="Z38" s="125"/>
      <c r="AA38" s="125" t="s">
        <v>672</v>
      </c>
      <c r="AF38" s="125"/>
    </row>
    <row r="40">
      <c r="A40" s="112" t="s">
        <v>134</v>
      </c>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row>
    <row r="41" collapsed="1">
      <c r="A41" s="115" t="s">
        <v>135</v>
      </c>
      <c r="B41" s="109"/>
      <c r="C41" s="117"/>
      <c r="D41" s="117"/>
      <c r="E41" s="117"/>
      <c r="F41" s="117"/>
      <c r="G41" s="117"/>
      <c r="H41" s="109"/>
      <c r="I41" s="118"/>
      <c r="J41" s="119"/>
      <c r="K41" s="119"/>
      <c r="L41" s="119"/>
      <c r="M41" s="119"/>
      <c r="N41" s="109"/>
      <c r="O41" s="116"/>
      <c r="P41" s="117"/>
      <c r="Q41" s="117"/>
      <c r="R41" s="117"/>
      <c r="S41" s="117"/>
      <c r="T41" s="109"/>
      <c r="U41" s="116"/>
      <c r="V41" s="117"/>
      <c r="W41" s="117"/>
      <c r="X41" s="117"/>
      <c r="Y41" s="117"/>
      <c r="Z41" s="109"/>
      <c r="AA41" s="116"/>
      <c r="AB41" s="117"/>
      <c r="AC41" s="117"/>
      <c r="AD41" s="117"/>
      <c r="AE41" s="117"/>
      <c r="AF41" s="109"/>
      <c r="AG41" s="122" t="s">
        <v>608</v>
      </c>
      <c r="AK41" s="122"/>
    </row>
    <row r="42" hidden="1" outlineLevel="1">
      <c r="A42" s="123" t="s">
        <v>673</v>
      </c>
      <c r="C42" s="109"/>
      <c r="H42" s="109"/>
      <c r="I42" s="109" t="s">
        <v>674</v>
      </c>
      <c r="N42" s="109"/>
      <c r="O42" s="109" t="s">
        <v>674</v>
      </c>
      <c r="T42" s="109"/>
      <c r="U42" s="109" t="s">
        <v>674</v>
      </c>
      <c r="Z42" s="109"/>
      <c r="AA42" s="109" t="s">
        <v>675</v>
      </c>
      <c r="AF42" s="109"/>
      <c r="AH42" s="111" t="s">
        <v>558</v>
      </c>
      <c r="AI42" s="111" t="s">
        <v>559</v>
      </c>
      <c r="AJ42" s="111"/>
      <c r="AN42" s="111"/>
      <c r="AO42" s="111"/>
      <c r="AP42" s="111"/>
    </row>
    <row r="43" hidden="1" outlineLevel="1">
      <c r="A43" s="124"/>
      <c r="C43" s="125"/>
      <c r="H43" s="125"/>
      <c r="I43" s="125" t="s">
        <v>676</v>
      </c>
      <c r="N43" s="125"/>
      <c r="O43" s="125" t="s">
        <v>677</v>
      </c>
      <c r="T43" s="125"/>
      <c r="U43" s="125" t="s">
        <v>678</v>
      </c>
      <c r="Z43" s="125"/>
      <c r="AA43" s="125" t="s">
        <v>679</v>
      </c>
      <c r="AF43" s="125"/>
    </row>
    <row r="44" collapsed="1">
      <c r="A44" s="115" t="s">
        <v>139</v>
      </c>
      <c r="B44" s="109"/>
      <c r="C44" s="116"/>
      <c r="D44" s="117"/>
      <c r="E44" s="117"/>
      <c r="F44" s="117"/>
      <c r="G44" s="117"/>
      <c r="H44" s="109"/>
      <c r="I44" s="118"/>
      <c r="J44" s="118"/>
      <c r="K44" s="119"/>
      <c r="L44" s="119"/>
      <c r="M44" s="119"/>
      <c r="N44" s="109"/>
      <c r="O44" s="116"/>
      <c r="P44" s="116"/>
      <c r="Q44" s="116"/>
      <c r="R44" s="117"/>
      <c r="S44" s="117"/>
      <c r="T44" s="109"/>
      <c r="U44" s="116"/>
      <c r="V44" s="116"/>
      <c r="W44" s="116"/>
      <c r="X44" s="116"/>
      <c r="Y44" s="117"/>
      <c r="Z44" s="109"/>
      <c r="AA44" s="116"/>
      <c r="AB44" s="116"/>
      <c r="AC44" s="116"/>
      <c r="AD44" s="116"/>
      <c r="AE44" s="117"/>
      <c r="AF44" s="109"/>
      <c r="AG44" s="122" t="s">
        <v>608</v>
      </c>
      <c r="AK44" s="122"/>
    </row>
    <row r="45" hidden="1" outlineLevel="1">
      <c r="A45" s="123" t="s">
        <v>680</v>
      </c>
      <c r="C45" s="109" t="s">
        <v>681</v>
      </c>
      <c r="H45" s="109"/>
      <c r="I45" s="109" t="s">
        <v>682</v>
      </c>
      <c r="N45" s="109"/>
      <c r="O45" s="109" t="s">
        <v>683</v>
      </c>
      <c r="T45" s="109"/>
      <c r="U45" s="109" t="s">
        <v>684</v>
      </c>
      <c r="Z45" s="109"/>
      <c r="AA45" s="109" t="s">
        <v>684</v>
      </c>
      <c r="AF45" s="109"/>
      <c r="AH45" s="111" t="s">
        <v>558</v>
      </c>
      <c r="AI45" s="111" t="s">
        <v>559</v>
      </c>
      <c r="AJ45" s="111"/>
      <c r="AN45" s="111"/>
      <c r="AO45" s="111"/>
      <c r="AP45" s="111"/>
    </row>
    <row r="46" hidden="1" outlineLevel="1">
      <c r="A46" s="124"/>
      <c r="C46" s="125" t="s">
        <v>685</v>
      </c>
      <c r="H46" s="125"/>
      <c r="I46" s="125" t="s">
        <v>686</v>
      </c>
      <c r="N46" s="125"/>
      <c r="O46" s="125" t="s">
        <v>687</v>
      </c>
      <c r="T46" s="125"/>
      <c r="U46" s="125" t="s">
        <v>688</v>
      </c>
      <c r="Z46" s="125"/>
      <c r="AA46" s="125" t="s">
        <v>689</v>
      </c>
      <c r="AF46" s="125"/>
    </row>
    <row r="47" collapsed="1">
      <c r="A47" s="115" t="s">
        <v>144</v>
      </c>
      <c r="B47" s="109"/>
      <c r="C47" s="117"/>
      <c r="D47" s="117"/>
      <c r="E47" s="117"/>
      <c r="F47" s="117"/>
      <c r="G47" s="117"/>
      <c r="H47" s="109"/>
      <c r="I47" s="119"/>
      <c r="J47" s="119"/>
      <c r="K47" s="119"/>
      <c r="L47" s="119"/>
      <c r="M47" s="119"/>
      <c r="N47" s="109"/>
      <c r="O47" s="116"/>
      <c r="P47" s="117"/>
      <c r="Q47" s="117"/>
      <c r="R47" s="117"/>
      <c r="S47" s="117"/>
      <c r="T47" s="109"/>
      <c r="U47" s="116"/>
      <c r="V47" s="116"/>
      <c r="W47" s="117"/>
      <c r="X47" s="117"/>
      <c r="Y47" s="117"/>
      <c r="Z47" s="109"/>
      <c r="AA47" s="116"/>
      <c r="AB47" s="116"/>
      <c r="AC47" s="116"/>
      <c r="AD47" s="117"/>
      <c r="AE47" s="117"/>
      <c r="AF47" s="109"/>
      <c r="AG47" s="122" t="s">
        <v>608</v>
      </c>
      <c r="AK47" s="122"/>
    </row>
    <row r="48" hidden="1" outlineLevel="1">
      <c r="A48" s="123" t="s">
        <v>690</v>
      </c>
      <c r="C48" s="109"/>
      <c r="H48" s="109"/>
      <c r="I48" s="109"/>
      <c r="N48" s="109"/>
      <c r="O48" s="109" t="s">
        <v>691</v>
      </c>
      <c r="T48" s="109"/>
      <c r="U48" s="109" t="s">
        <v>692</v>
      </c>
      <c r="Z48" s="109"/>
      <c r="AA48" s="109" t="s">
        <v>693</v>
      </c>
      <c r="AF48" s="109"/>
      <c r="AH48" s="111" t="s">
        <v>558</v>
      </c>
      <c r="AI48" s="111" t="s">
        <v>559</v>
      </c>
      <c r="AJ48" s="111"/>
      <c r="AN48" s="111"/>
      <c r="AO48" s="111"/>
      <c r="AP48" s="111"/>
    </row>
    <row r="49" hidden="1" outlineLevel="1">
      <c r="A49" s="124"/>
      <c r="C49" s="125"/>
      <c r="H49" s="125"/>
      <c r="I49" s="125"/>
      <c r="N49" s="125"/>
      <c r="O49" s="125" t="s">
        <v>694</v>
      </c>
      <c r="T49" s="125"/>
      <c r="U49" s="125" t="s">
        <v>695</v>
      </c>
      <c r="Z49" s="125"/>
      <c r="AA49" s="125" t="s">
        <v>696</v>
      </c>
      <c r="AF49" s="125"/>
    </row>
    <row r="50" collapsed="1">
      <c r="A50" s="115" t="s">
        <v>149</v>
      </c>
      <c r="B50" s="109"/>
      <c r="C50" s="117"/>
      <c r="D50" s="117"/>
      <c r="E50" s="117"/>
      <c r="F50" s="117"/>
      <c r="G50" s="117"/>
      <c r="H50" s="109"/>
      <c r="I50" s="119"/>
      <c r="J50" s="119"/>
      <c r="K50" s="119"/>
      <c r="L50" s="119"/>
      <c r="M50" s="119"/>
      <c r="N50" s="109"/>
      <c r="O50" s="116"/>
      <c r="P50" s="117"/>
      <c r="Q50" s="117"/>
      <c r="R50" s="117"/>
      <c r="S50" s="117"/>
      <c r="T50" s="109"/>
      <c r="U50" s="116"/>
      <c r="V50" s="116"/>
      <c r="W50" s="117"/>
      <c r="X50" s="117"/>
      <c r="Y50" s="117"/>
      <c r="Z50" s="109"/>
      <c r="AA50" s="116"/>
      <c r="AB50" s="116"/>
      <c r="AC50" s="116"/>
      <c r="AD50" s="117"/>
      <c r="AE50" s="117"/>
      <c r="AF50" s="109"/>
      <c r="AG50" s="122" t="s">
        <v>608</v>
      </c>
      <c r="AK50" s="122"/>
    </row>
    <row r="51" hidden="1" outlineLevel="1">
      <c r="A51" s="123" t="s">
        <v>265</v>
      </c>
      <c r="C51" s="109"/>
      <c r="H51" s="109"/>
      <c r="I51" s="109"/>
      <c r="N51" s="109"/>
      <c r="O51" s="109" t="s">
        <v>697</v>
      </c>
      <c r="T51" s="109"/>
      <c r="U51" s="109" t="s">
        <v>698</v>
      </c>
      <c r="Z51" s="109"/>
      <c r="AA51" s="109" t="s">
        <v>699</v>
      </c>
      <c r="AF51" s="109"/>
      <c r="AH51" s="111" t="s">
        <v>558</v>
      </c>
      <c r="AI51" s="111" t="s">
        <v>559</v>
      </c>
      <c r="AJ51" s="111"/>
      <c r="AN51" s="111"/>
      <c r="AO51" s="111"/>
      <c r="AP51" s="111"/>
    </row>
    <row r="52" hidden="1" outlineLevel="1">
      <c r="A52" s="124"/>
      <c r="C52" s="125"/>
      <c r="H52" s="125"/>
      <c r="I52" s="125"/>
      <c r="N52" s="125"/>
      <c r="O52" s="125" t="s">
        <v>700</v>
      </c>
      <c r="T52" s="125"/>
      <c r="U52" s="125" t="s">
        <v>701</v>
      </c>
      <c r="Z52" s="125"/>
      <c r="AA52" s="125" t="s">
        <v>702</v>
      </c>
      <c r="AF52" s="125"/>
    </row>
    <row r="53" collapsed="1">
      <c r="A53" s="115" t="s">
        <v>154</v>
      </c>
      <c r="B53" s="109"/>
      <c r="C53" s="116"/>
      <c r="D53" s="116"/>
      <c r="E53" s="117"/>
      <c r="F53" s="117"/>
      <c r="G53" s="117"/>
      <c r="H53" s="109"/>
      <c r="I53" s="118"/>
      <c r="J53" s="118"/>
      <c r="K53" s="119"/>
      <c r="L53" s="119"/>
      <c r="M53" s="119"/>
      <c r="N53" s="109"/>
      <c r="O53" s="116"/>
      <c r="P53" s="116"/>
      <c r="Q53" s="116"/>
      <c r="R53" s="117"/>
      <c r="S53" s="117"/>
      <c r="T53" s="109"/>
      <c r="U53" s="116"/>
      <c r="V53" s="116"/>
      <c r="W53" s="116"/>
      <c r="X53" s="116"/>
      <c r="Y53" s="117"/>
      <c r="Z53" s="109"/>
      <c r="AA53" s="116"/>
      <c r="AB53" s="116"/>
      <c r="AC53" s="116"/>
      <c r="AD53" s="116"/>
      <c r="AE53" s="117"/>
      <c r="AF53" s="109"/>
      <c r="AG53" s="122" t="s">
        <v>608</v>
      </c>
      <c r="AK53" s="122"/>
    </row>
    <row r="54" hidden="1" outlineLevel="1">
      <c r="A54" s="123" t="s">
        <v>703</v>
      </c>
      <c r="C54" s="109" t="s">
        <v>704</v>
      </c>
      <c r="H54" s="109"/>
      <c r="I54" s="109" t="s">
        <v>704</v>
      </c>
      <c r="N54" s="109"/>
      <c r="O54" s="109" t="s">
        <v>705</v>
      </c>
      <c r="T54" s="109"/>
      <c r="U54" s="109" t="s">
        <v>706</v>
      </c>
      <c r="Z54" s="109"/>
      <c r="AA54" s="109" t="s">
        <v>706</v>
      </c>
      <c r="AF54" s="109"/>
      <c r="AH54" s="111" t="s">
        <v>558</v>
      </c>
      <c r="AI54" s="111" t="s">
        <v>559</v>
      </c>
      <c r="AJ54" s="111"/>
      <c r="AN54" s="111"/>
      <c r="AO54" s="111"/>
      <c r="AP54" s="111"/>
    </row>
    <row r="55" hidden="1" outlineLevel="1">
      <c r="A55" s="124"/>
      <c r="C55" s="125" t="s">
        <v>707</v>
      </c>
      <c r="H55" s="125"/>
      <c r="I55" s="125" t="s">
        <v>708</v>
      </c>
      <c r="N55" s="125"/>
      <c r="O55" s="125" t="s">
        <v>709</v>
      </c>
      <c r="T55" s="125"/>
      <c r="U55" s="125" t="s">
        <v>710</v>
      </c>
      <c r="Z55" s="125"/>
      <c r="AA55" s="125" t="s">
        <v>711</v>
      </c>
      <c r="AF55" s="125"/>
    </row>
  </sheetData>
  <mergeCells count="167">
    <mergeCell ref="B1:AE1"/>
    <mergeCell ref="AO1:AP1"/>
    <mergeCell ref="C2:G2"/>
    <mergeCell ref="I2:M2"/>
    <mergeCell ref="O2:S2"/>
    <mergeCell ref="U2:Y2"/>
    <mergeCell ref="AA2:AE2"/>
    <mergeCell ref="U5:Y5"/>
    <mergeCell ref="U6:Y6"/>
    <mergeCell ref="U8:Y8"/>
    <mergeCell ref="AA8:AE8"/>
    <mergeCell ref="U9:Y9"/>
    <mergeCell ref="AA9:AE9"/>
    <mergeCell ref="C5:G5"/>
    <mergeCell ref="I5:M5"/>
    <mergeCell ref="O5:S5"/>
    <mergeCell ref="AA5:AE5"/>
    <mergeCell ref="I6:M6"/>
    <mergeCell ref="O6:S6"/>
    <mergeCell ref="AA6:AE6"/>
    <mergeCell ref="C6:G6"/>
    <mergeCell ref="C8:G8"/>
    <mergeCell ref="I8:M8"/>
    <mergeCell ref="O8:S8"/>
    <mergeCell ref="C9:G9"/>
    <mergeCell ref="I9:M9"/>
    <mergeCell ref="O9:S9"/>
    <mergeCell ref="U11:Y11"/>
    <mergeCell ref="U12:Y12"/>
    <mergeCell ref="U14:Y14"/>
    <mergeCell ref="AA14:AE14"/>
    <mergeCell ref="U15:Y15"/>
    <mergeCell ref="AA15:AE15"/>
    <mergeCell ref="C11:G11"/>
    <mergeCell ref="I11:M11"/>
    <mergeCell ref="O11:S11"/>
    <mergeCell ref="AA11:AE11"/>
    <mergeCell ref="I12:M12"/>
    <mergeCell ref="O12:S12"/>
    <mergeCell ref="AA12:AE12"/>
    <mergeCell ref="C12:G12"/>
    <mergeCell ref="C14:G14"/>
    <mergeCell ref="I14:M14"/>
    <mergeCell ref="O14:S14"/>
    <mergeCell ref="C15:G15"/>
    <mergeCell ref="I15:M15"/>
    <mergeCell ref="O15:S15"/>
    <mergeCell ref="U31:Y31"/>
    <mergeCell ref="U32:Y32"/>
    <mergeCell ref="C31:G31"/>
    <mergeCell ref="I31:M31"/>
    <mergeCell ref="O31:S31"/>
    <mergeCell ref="AA31:AE31"/>
    <mergeCell ref="I32:M32"/>
    <mergeCell ref="O32:S32"/>
    <mergeCell ref="AA32:AE32"/>
    <mergeCell ref="U17:Y17"/>
    <mergeCell ref="U18:Y18"/>
    <mergeCell ref="U22:Y22"/>
    <mergeCell ref="AA22:AE22"/>
    <mergeCell ref="U23:Y23"/>
    <mergeCell ref="AA23:AE23"/>
    <mergeCell ref="C17:G17"/>
    <mergeCell ref="I17:M17"/>
    <mergeCell ref="O17:S17"/>
    <mergeCell ref="AA17:AE17"/>
    <mergeCell ref="I18:M18"/>
    <mergeCell ref="O18:S18"/>
    <mergeCell ref="AA18:AE18"/>
    <mergeCell ref="C18:G18"/>
    <mergeCell ref="C22:G22"/>
    <mergeCell ref="I22:M22"/>
    <mergeCell ref="O22:S22"/>
    <mergeCell ref="C23:G23"/>
    <mergeCell ref="I23:M23"/>
    <mergeCell ref="O23:S23"/>
    <mergeCell ref="U25:Y25"/>
    <mergeCell ref="U26:Y26"/>
    <mergeCell ref="U28:Y28"/>
    <mergeCell ref="AA28:AE28"/>
    <mergeCell ref="U29:Y29"/>
    <mergeCell ref="AA29:AE29"/>
    <mergeCell ref="C25:G25"/>
    <mergeCell ref="I25:M25"/>
    <mergeCell ref="O25:S25"/>
    <mergeCell ref="AA25:AE25"/>
    <mergeCell ref="I26:M26"/>
    <mergeCell ref="O26:S26"/>
    <mergeCell ref="AA26:AE26"/>
    <mergeCell ref="C26:G26"/>
    <mergeCell ref="C28:G28"/>
    <mergeCell ref="I28:M28"/>
    <mergeCell ref="O28:S28"/>
    <mergeCell ref="C29:G29"/>
    <mergeCell ref="I29:M29"/>
    <mergeCell ref="O29:S29"/>
    <mergeCell ref="AA34:AE34"/>
    <mergeCell ref="AA35:AE35"/>
    <mergeCell ref="C45:G45"/>
    <mergeCell ref="I45:M45"/>
    <mergeCell ref="O45:S45"/>
    <mergeCell ref="AA45:AE45"/>
    <mergeCell ref="I46:M46"/>
    <mergeCell ref="O46:S46"/>
    <mergeCell ref="AA46:AE46"/>
    <mergeCell ref="C46:G46"/>
    <mergeCell ref="C48:G48"/>
    <mergeCell ref="I48:M48"/>
    <mergeCell ref="O48:S48"/>
    <mergeCell ref="C49:G49"/>
    <mergeCell ref="I49:M49"/>
    <mergeCell ref="O49:S49"/>
    <mergeCell ref="U51:Y51"/>
    <mergeCell ref="U52:Y52"/>
    <mergeCell ref="C51:G51"/>
    <mergeCell ref="I51:M51"/>
    <mergeCell ref="O51:S51"/>
    <mergeCell ref="AA51:AE51"/>
    <mergeCell ref="I52:M52"/>
    <mergeCell ref="O52:S52"/>
    <mergeCell ref="AA52:AE52"/>
    <mergeCell ref="O54:S54"/>
    <mergeCell ref="O55:S55"/>
    <mergeCell ref="C52:G52"/>
    <mergeCell ref="C54:G54"/>
    <mergeCell ref="I54:M54"/>
    <mergeCell ref="U54:Y54"/>
    <mergeCell ref="C55:G55"/>
    <mergeCell ref="I55:M55"/>
    <mergeCell ref="U55:Y55"/>
    <mergeCell ref="O34:S34"/>
    <mergeCell ref="O35:S35"/>
    <mergeCell ref="C32:G32"/>
    <mergeCell ref="C34:G34"/>
    <mergeCell ref="I34:M34"/>
    <mergeCell ref="U34:Y34"/>
    <mergeCell ref="C35:G35"/>
    <mergeCell ref="I35:M35"/>
    <mergeCell ref="U35:Y35"/>
    <mergeCell ref="U37:Y37"/>
    <mergeCell ref="U38:Y38"/>
    <mergeCell ref="U42:Y42"/>
    <mergeCell ref="AA42:AE42"/>
    <mergeCell ref="U43:Y43"/>
    <mergeCell ref="AA43:AE43"/>
    <mergeCell ref="C37:G37"/>
    <mergeCell ref="I37:M37"/>
    <mergeCell ref="O37:S37"/>
    <mergeCell ref="AA37:AE37"/>
    <mergeCell ref="I38:M38"/>
    <mergeCell ref="O38:S38"/>
    <mergeCell ref="AA38:AE38"/>
    <mergeCell ref="C38:G38"/>
    <mergeCell ref="C42:G42"/>
    <mergeCell ref="I42:M42"/>
    <mergeCell ref="O42:S42"/>
    <mergeCell ref="C43:G43"/>
    <mergeCell ref="I43:M43"/>
    <mergeCell ref="O43:S43"/>
    <mergeCell ref="U45:Y45"/>
    <mergeCell ref="U46:Y46"/>
    <mergeCell ref="U48:Y48"/>
    <mergeCell ref="AA48:AE48"/>
    <mergeCell ref="U49:Y49"/>
    <mergeCell ref="AA49:AE49"/>
    <mergeCell ref="AA54:AE54"/>
    <mergeCell ref="AA55:AE55"/>
  </mergeCells>
  <printOptions gridLines="1" horizontalCentered="1"/>
  <pageMargins bottom="0.75" footer="0.0" header="0.0" left="0.7" right="0.7" top="0.75"/>
  <pageSetup fitToHeight="0" paperSize="9" cellComments="atEnd" orientation="landscape" pageOrder="overThenDown"/>
  <drawing r:id="rId1"/>
</worksheet>
</file>